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c7e3521a3a833fad/Desktop/PERSONAL/"/>
    </mc:Choice>
  </mc:AlternateContent>
  <xr:revisionPtr revIDLastSave="82" documentId="14_{6406BA30-D7FA-4343-9E03-A1D7B9951D7A}" xr6:coauthVersionLast="47" xr6:coauthVersionMax="47" xr10:uidLastSave="{3C5FCB24-356F-4DB8-91BC-0429F273AE55}"/>
  <bookViews>
    <workbookView xWindow="-108" yWindow="-108" windowWidth="23256" windowHeight="12456" activeTab="3" xr2:uid="{0BE13152-D025-4D3F-98C9-473DAC36C445}"/>
  </bookViews>
  <sheets>
    <sheet name="Cover Sheet" sheetId="10" r:id="rId1"/>
    <sheet name="All Sales" sheetId="1" r:id="rId2"/>
    <sheet name="North" sheetId="2" r:id="rId3"/>
    <sheet name="South" sheetId="3" r:id="rId4"/>
    <sheet name="East" sheetId="4" r:id="rId5"/>
    <sheet name="West" sheetId="5" r:id="rId6"/>
    <sheet name="copy of All Sales" sheetId="6" r:id="rId7"/>
    <sheet name="Chart" sheetId="7" r:id="rId8"/>
    <sheet name="sales analysis" sheetId="8" r:id="rId9"/>
    <sheet name="new_satff" sheetId="9" r:id="rId10"/>
  </sheets>
  <definedNames>
    <definedName name="_xlnm._FilterDatabase" localSheetId="1" hidden="1">'All Sales'!$A$2:$G$490</definedName>
    <definedName name="Slicer_Employee">#N/A</definedName>
    <definedName name="Slicer_Sales_Area">#N/A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K3" i="3"/>
  <c r="L3" i="3"/>
  <c r="M3" i="3"/>
  <c r="N3" i="3"/>
  <c r="J3" i="2"/>
  <c r="E4" i="9"/>
  <c r="E5" i="9"/>
  <c r="E6" i="9"/>
  <c r="E7" i="9"/>
  <c r="E8" i="9"/>
  <c r="E9" i="9"/>
  <c r="E10" i="9"/>
  <c r="E11" i="9"/>
  <c r="E12" i="9"/>
  <c r="E13" i="9"/>
  <c r="E14" i="9"/>
  <c r="E15" i="9"/>
  <c r="E16" i="9"/>
  <c r="E17" i="9"/>
  <c r="E18" i="9"/>
  <c r="E19" i="9"/>
  <c r="E20" i="9"/>
  <c r="E21" i="9"/>
  <c r="E22" i="9"/>
  <c r="E3" i="9"/>
  <c r="D4" i="9"/>
  <c r="D5" i="9"/>
  <c r="D6" i="9"/>
  <c r="D7" i="9"/>
  <c r="D8" i="9"/>
  <c r="D9" i="9"/>
  <c r="D10" i="9"/>
  <c r="D11" i="9"/>
  <c r="D12" i="9"/>
  <c r="D13" i="9"/>
  <c r="D14" i="9"/>
  <c r="D15" i="9"/>
  <c r="D16" i="9"/>
  <c r="D17" i="9"/>
  <c r="D18" i="9"/>
  <c r="D19" i="9"/>
  <c r="D20" i="9"/>
  <c r="D21" i="9"/>
  <c r="D22" i="9"/>
  <c r="D3" i="9"/>
  <c r="C4" i="9"/>
  <c r="C5" i="9"/>
  <c r="C6" i="9"/>
  <c r="C7" i="9"/>
  <c r="C8" i="9"/>
  <c r="C9" i="9"/>
  <c r="C10" i="9"/>
  <c r="C11" i="9"/>
  <c r="C12" i="9"/>
  <c r="C13" i="9"/>
  <c r="C14" i="9"/>
  <c r="C15" i="9"/>
  <c r="C16" i="9"/>
  <c r="C17" i="9"/>
  <c r="C18" i="9"/>
  <c r="C19" i="9"/>
  <c r="C20" i="9"/>
  <c r="C21" i="9"/>
  <c r="C22" i="9"/>
  <c r="C3" i="9"/>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F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K3" i="5"/>
  <c r="L3" i="5"/>
  <c r="M3" i="5"/>
  <c r="N3" i="5"/>
  <c r="J3" i="5"/>
  <c r="K99" i="5"/>
  <c r="K3" i="4"/>
  <c r="L3" i="4"/>
  <c r="M3" i="4"/>
  <c r="N3" i="4"/>
  <c r="J3" i="4"/>
  <c r="L80" i="3"/>
  <c r="M80" i="3"/>
  <c r="N80" i="3"/>
  <c r="O80" i="3"/>
  <c r="K80" i="3"/>
  <c r="K3" i="2"/>
  <c r="L3" i="2"/>
  <c r="M3" i="2"/>
  <c r="N3" i="2"/>
  <c r="I29" i="1"/>
  <c r="I30" i="1"/>
  <c r="I31" i="1"/>
  <c r="I32" i="1"/>
  <c r="I33" i="1"/>
  <c r="I34" i="1"/>
  <c r="I35" i="1"/>
  <c r="I36" i="1"/>
  <c r="I16" i="1"/>
  <c r="I17" i="1"/>
  <c r="I18" i="1"/>
  <c r="I19" i="1"/>
  <c r="I20" i="1"/>
  <c r="I21" i="1"/>
  <c r="I22" i="1"/>
  <c r="I23" i="1"/>
  <c r="I24" i="1"/>
  <c r="I25" i="1"/>
  <c r="I26" i="1"/>
  <c r="I27" i="1"/>
  <c r="I3" i="1"/>
  <c r="I4" i="1"/>
  <c r="I5" i="1"/>
  <c r="I6" i="1"/>
  <c r="I7" i="1"/>
  <c r="I8" i="1"/>
  <c r="I9" i="1"/>
  <c r="I10" i="1"/>
  <c r="I11" i="1"/>
  <c r="I12" i="1"/>
  <c r="I13" i="1"/>
  <c r="I14" i="1"/>
  <c r="I15" i="1"/>
  <c r="I37" i="1"/>
  <c r="I42" i="1"/>
  <c r="I43" i="1"/>
  <c r="I44" i="1"/>
  <c r="I45" i="1"/>
  <c r="I46" i="1"/>
  <c r="I47" i="1"/>
  <c r="I48" i="1"/>
  <c r="I49" i="1"/>
  <c r="I38" i="1"/>
  <c r="I39" i="1"/>
  <c r="I40" i="1"/>
  <c r="I41" i="1"/>
  <c r="I61" i="1"/>
  <c r="I50" i="1"/>
  <c r="I51" i="1"/>
  <c r="I52" i="1"/>
  <c r="I53" i="1"/>
  <c r="I54" i="1"/>
  <c r="I55" i="1"/>
  <c r="I56" i="1"/>
  <c r="I57" i="1"/>
  <c r="I58" i="1"/>
  <c r="I59" i="1"/>
  <c r="I60" i="1"/>
  <c r="I66" i="1"/>
  <c r="I67" i="1"/>
  <c r="I68" i="1"/>
  <c r="I69" i="1"/>
  <c r="I70" i="1"/>
  <c r="I71" i="1"/>
  <c r="I72" i="1"/>
  <c r="I73" i="1"/>
  <c r="I74" i="1"/>
  <c r="I75" i="1"/>
  <c r="I76" i="1"/>
  <c r="I77" i="1"/>
  <c r="I62" i="1"/>
  <c r="I63" i="1"/>
  <c r="I64" i="1"/>
  <c r="I65" i="1"/>
  <c r="I80" i="1"/>
  <c r="I81" i="1"/>
  <c r="I82" i="1"/>
  <c r="I83" i="1"/>
  <c r="I84" i="1"/>
  <c r="I78" i="1"/>
  <c r="I79" i="1"/>
  <c r="I85" i="1"/>
  <c r="I86" i="1"/>
  <c r="I87" i="1"/>
  <c r="I88" i="1"/>
  <c r="I89" i="1"/>
  <c r="I90" i="1"/>
  <c r="I91" i="1"/>
  <c r="I92" i="1"/>
  <c r="I93" i="1"/>
  <c r="I100" i="1"/>
  <c r="I101" i="1"/>
  <c r="I102" i="1"/>
  <c r="I103" i="1"/>
  <c r="I104" i="1"/>
  <c r="I105" i="1"/>
  <c r="I106" i="1"/>
  <c r="I107" i="1"/>
  <c r="I108" i="1"/>
  <c r="I109" i="1"/>
  <c r="I110" i="1"/>
  <c r="I111" i="1"/>
  <c r="I112" i="1"/>
  <c r="I118" i="1"/>
  <c r="I119" i="1"/>
  <c r="I120" i="1"/>
  <c r="I121" i="1"/>
  <c r="I122" i="1"/>
  <c r="I123" i="1"/>
  <c r="I124" i="1"/>
  <c r="I125" i="1"/>
  <c r="I126" i="1"/>
  <c r="I127" i="1"/>
  <c r="I128" i="1"/>
  <c r="I129" i="1"/>
  <c r="I130" i="1"/>
  <c r="I131" i="1"/>
  <c r="I113" i="1"/>
  <c r="I114" i="1"/>
  <c r="I115" i="1"/>
  <c r="I116" i="1"/>
  <c r="I117" i="1"/>
  <c r="I94" i="1"/>
  <c r="I95" i="1"/>
  <c r="I96" i="1"/>
  <c r="I97" i="1"/>
  <c r="I98" i="1"/>
  <c r="I99" i="1"/>
  <c r="I132" i="1"/>
  <c r="I133" i="1"/>
  <c r="I134" i="1"/>
  <c r="I135" i="1"/>
  <c r="I136" i="1"/>
  <c r="I137" i="1"/>
  <c r="I138" i="1"/>
  <c r="I139" i="1"/>
  <c r="I140" i="1"/>
  <c r="I141" i="1"/>
  <c r="I142" i="1"/>
  <c r="I143" i="1"/>
  <c r="I144" i="1"/>
  <c r="I145" i="1"/>
  <c r="I146" i="1"/>
  <c r="I147" i="1"/>
  <c r="I172" i="1"/>
  <c r="I173" i="1"/>
  <c r="I174" i="1"/>
  <c r="I164" i="1"/>
  <c r="I165" i="1"/>
  <c r="I166" i="1"/>
  <c r="I167" i="1"/>
  <c r="I168" i="1"/>
  <c r="I169" i="1"/>
  <c r="I148" i="1"/>
  <c r="I149" i="1"/>
  <c r="I150" i="1"/>
  <c r="I151" i="1"/>
  <c r="I152" i="1"/>
  <c r="I153" i="1"/>
  <c r="I154" i="1"/>
  <c r="I155" i="1"/>
  <c r="I156" i="1"/>
  <c r="I157" i="1"/>
  <c r="I158" i="1"/>
  <c r="I159" i="1"/>
  <c r="I160" i="1"/>
  <c r="I161" i="1"/>
  <c r="I162" i="1"/>
  <c r="I163" i="1"/>
  <c r="I175" i="1"/>
  <c r="I176" i="1"/>
  <c r="I177" i="1"/>
  <c r="I170" i="1"/>
  <c r="I171" i="1"/>
  <c r="I180" i="1"/>
  <c r="I181" i="1"/>
  <c r="I182" i="1"/>
  <c r="I183" i="1"/>
  <c r="I184" i="1"/>
  <c r="I178" i="1"/>
  <c r="I179" i="1"/>
  <c r="I185" i="1"/>
  <c r="I186" i="1"/>
  <c r="I187" i="1"/>
  <c r="I195" i="1"/>
  <c r="I196" i="1"/>
  <c r="I197" i="1"/>
  <c r="I198" i="1"/>
  <c r="I199" i="1"/>
  <c r="I200" i="1"/>
  <c r="I201" i="1"/>
  <c r="I213" i="1"/>
  <c r="I214" i="1"/>
  <c r="I215" i="1"/>
  <c r="I216" i="1"/>
  <c r="I217" i="1"/>
  <c r="I218" i="1"/>
  <c r="I202" i="1"/>
  <c r="I203" i="1"/>
  <c r="I204" i="1"/>
  <c r="I205" i="1"/>
  <c r="I206" i="1"/>
  <c r="I207" i="1"/>
  <c r="I208" i="1"/>
  <c r="I209" i="1"/>
  <c r="I210" i="1"/>
  <c r="I211" i="1"/>
  <c r="I212" i="1"/>
  <c r="I188" i="1"/>
  <c r="I189" i="1"/>
  <c r="I190" i="1"/>
  <c r="I191" i="1"/>
  <c r="I192" i="1"/>
  <c r="I193" i="1"/>
  <c r="I194" i="1"/>
  <c r="I219" i="1"/>
  <c r="I220" i="1"/>
  <c r="I221" i="1"/>
  <c r="I222" i="1"/>
  <c r="I223" i="1"/>
  <c r="I224" i="1"/>
  <c r="I225" i="1"/>
  <c r="I235" i="1"/>
  <c r="I236" i="1"/>
  <c r="I237" i="1"/>
  <c r="I238" i="1"/>
  <c r="I239" i="1"/>
  <c r="I240" i="1"/>
  <c r="I241" i="1"/>
  <c r="I242" i="1"/>
  <c r="I243" i="1"/>
  <c r="I226" i="1"/>
  <c r="I227" i="1"/>
  <c r="I228" i="1"/>
  <c r="I229" i="1"/>
  <c r="I230" i="1"/>
  <c r="I231" i="1"/>
  <c r="I232" i="1"/>
  <c r="I233" i="1"/>
  <c r="I234" i="1"/>
  <c r="I249" i="1"/>
  <c r="I244" i="1"/>
  <c r="I245" i="1"/>
  <c r="I246" i="1"/>
  <c r="I247" i="1"/>
  <c r="I248" i="1"/>
  <c r="I250" i="1"/>
  <c r="I251" i="1"/>
  <c r="I252" i="1"/>
  <c r="I253" i="1"/>
  <c r="I254" i="1"/>
  <c r="I257" i="1"/>
  <c r="I258" i="1"/>
  <c r="I259" i="1"/>
  <c r="I260" i="1"/>
  <c r="I261" i="1"/>
  <c r="I262" i="1"/>
  <c r="I263" i="1"/>
  <c r="I264" i="1"/>
  <c r="I274" i="1"/>
  <c r="I275" i="1"/>
  <c r="I276" i="1"/>
  <c r="I277" i="1"/>
  <c r="I278" i="1"/>
  <c r="I279" i="1"/>
  <c r="I280" i="1"/>
  <c r="I281" i="1"/>
  <c r="I282" i="1"/>
  <c r="I283" i="1"/>
  <c r="I265" i="1"/>
  <c r="I266" i="1"/>
  <c r="I267" i="1"/>
  <c r="I268" i="1"/>
  <c r="I269" i="1"/>
  <c r="I270" i="1"/>
  <c r="I271" i="1"/>
  <c r="I272" i="1"/>
  <c r="I273" i="1"/>
  <c r="I255" i="1"/>
  <c r="I256" i="1"/>
  <c r="I284" i="1"/>
  <c r="I285" i="1"/>
  <c r="I286" i="1"/>
  <c r="I287" i="1"/>
  <c r="I288" i="1"/>
  <c r="I289" i="1"/>
  <c r="I290" i="1"/>
  <c r="I291" i="1"/>
  <c r="I292" i="1"/>
  <c r="I293" i="1"/>
  <c r="I294" i="1"/>
  <c r="I306" i="1"/>
  <c r="I307" i="1"/>
  <c r="I308" i="1"/>
  <c r="I309" i="1"/>
  <c r="I310" i="1"/>
  <c r="I311" i="1"/>
  <c r="I312" i="1"/>
  <c r="I313" i="1"/>
  <c r="I328" i="1"/>
  <c r="I329" i="1"/>
  <c r="I330" i="1"/>
  <c r="I331" i="1"/>
  <c r="I332" i="1"/>
  <c r="I321" i="1"/>
  <c r="I322" i="1"/>
  <c r="I323" i="1"/>
  <c r="I324" i="1"/>
  <c r="I325" i="1"/>
  <c r="I326" i="1"/>
  <c r="I327" i="1"/>
  <c r="I295" i="1"/>
  <c r="I296" i="1"/>
  <c r="I297" i="1"/>
  <c r="I298" i="1"/>
  <c r="I299" i="1"/>
  <c r="I300" i="1"/>
  <c r="I301" i="1"/>
  <c r="I302" i="1"/>
  <c r="I303" i="1"/>
  <c r="I304" i="1"/>
  <c r="I305" i="1"/>
  <c r="I314" i="1"/>
  <c r="I315" i="1"/>
  <c r="I316" i="1"/>
  <c r="I317" i="1"/>
  <c r="I318" i="1"/>
  <c r="I319" i="1"/>
  <c r="I320" i="1"/>
  <c r="I333" i="1"/>
  <c r="I334" i="1"/>
  <c r="I335" i="1"/>
  <c r="I336" i="1"/>
  <c r="I337" i="1"/>
  <c r="I338" i="1"/>
  <c r="I339" i="1"/>
  <c r="I340" i="1"/>
  <c r="I365" i="1"/>
  <c r="I366" i="1"/>
  <c r="I367" i="1"/>
  <c r="I356" i="1"/>
  <c r="I357" i="1"/>
  <c r="I358" i="1"/>
  <c r="I359" i="1"/>
  <c r="I360" i="1"/>
  <c r="I361" i="1"/>
  <c r="I362" i="1"/>
  <c r="I363" i="1"/>
  <c r="I364" i="1"/>
  <c r="I341" i="1"/>
  <c r="I342" i="1"/>
  <c r="I343" i="1"/>
  <c r="I344" i="1"/>
  <c r="I345" i="1"/>
  <c r="I346" i="1"/>
  <c r="I347" i="1"/>
  <c r="I348" i="1"/>
  <c r="I349" i="1"/>
  <c r="I350" i="1"/>
  <c r="I351" i="1"/>
  <c r="I352" i="1"/>
  <c r="I353" i="1"/>
  <c r="I354" i="1"/>
  <c r="I355" i="1"/>
  <c r="I368" i="1"/>
  <c r="I369" i="1"/>
  <c r="I370" i="1"/>
  <c r="I371" i="1"/>
  <c r="I372" i="1"/>
  <c r="I373" i="1"/>
  <c r="I374" i="1"/>
  <c r="I375" i="1"/>
  <c r="I376" i="1"/>
  <c r="I377" i="1"/>
  <c r="I378" i="1"/>
  <c r="I392" i="1"/>
  <c r="I393" i="1"/>
  <c r="I394" i="1"/>
  <c r="I379" i="1"/>
  <c r="I380" i="1"/>
  <c r="I381" i="1"/>
  <c r="I382" i="1"/>
  <c r="I383" i="1"/>
  <c r="I384" i="1"/>
  <c r="I385" i="1"/>
  <c r="I386" i="1"/>
  <c r="I387" i="1"/>
  <c r="I388" i="1"/>
  <c r="I389" i="1"/>
  <c r="I390" i="1"/>
  <c r="I391"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28" i="1"/>
  <c r="I49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2" authorId="0" shapeId="0" xr:uid="{AD79B226-FC7D-43BE-A9F6-D58134DAB309}">
      <text>
        <r>
          <rPr>
            <b/>
            <sz val="9"/>
            <color indexed="81"/>
            <rFont val="Tahoma"/>
            <family val="2"/>
          </rPr>
          <t xml:space="preserve">The top 5 highest sales amounts in the Sales Amount column are highlighted in red using Conditional Formatting.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2" authorId="0" shapeId="0" xr:uid="{0C8D56A2-8AC7-49E6-A4E7-3B983A37E6DD}">
      <text>
        <r>
          <rPr>
            <b/>
            <sz val="9"/>
            <color indexed="81"/>
            <rFont val="Tahoma"/>
            <family val="2"/>
          </rPr>
          <t>DELL:</t>
        </r>
        <r>
          <rPr>
            <sz val="9"/>
            <color indexed="81"/>
            <rFont val="Tahoma"/>
            <family val="2"/>
          </rPr>
          <t xml:space="preserve">
Negative values shown as RED
</t>
        </r>
      </text>
    </comment>
  </commentList>
</comments>
</file>

<file path=xl/sharedStrings.xml><?xml version="1.0" encoding="utf-8"?>
<sst xmlns="http://schemas.openxmlformats.org/spreadsheetml/2006/main" count="7470" uniqueCount="159">
  <si>
    <t>Month</t>
  </si>
  <si>
    <t>Employee</t>
  </si>
  <si>
    <t>First Name</t>
  </si>
  <si>
    <t>Last Name</t>
  </si>
  <si>
    <t>Sales Area</t>
  </si>
  <si>
    <t>Sales Amount</t>
  </si>
  <si>
    <t>Payment Type</t>
  </si>
  <si>
    <t xml:space="preserve">spencer </t>
  </si>
  <si>
    <t>West</t>
  </si>
  <si>
    <t>Credit Card</t>
  </si>
  <si>
    <t>Cash</t>
  </si>
  <si>
    <t>Josh</t>
  </si>
  <si>
    <t>On Account</t>
  </si>
  <si>
    <t>Ally</t>
  </si>
  <si>
    <t>Tia</t>
  </si>
  <si>
    <t>Ashley Almanza</t>
  </si>
  <si>
    <t>Ashley</t>
  </si>
  <si>
    <t>Almanza</t>
  </si>
  <si>
    <t>East</t>
  </si>
  <si>
    <t>Derek Godwin</t>
  </si>
  <si>
    <t>Derek</t>
  </si>
  <si>
    <t>Godwin</t>
  </si>
  <si>
    <t>Reza Jafari</t>
  </si>
  <si>
    <t>Reza</t>
  </si>
  <si>
    <t>Jafari</t>
  </si>
  <si>
    <t>Gordon Beswick</t>
  </si>
  <si>
    <t>Gordon</t>
  </si>
  <si>
    <t>Beswick</t>
  </si>
  <si>
    <t>Chloe Fusaro</t>
  </si>
  <si>
    <t>Chloe</t>
  </si>
  <si>
    <t>Fusaro</t>
  </si>
  <si>
    <t>North</t>
  </si>
  <si>
    <t>Jonah Seitz</t>
  </si>
  <si>
    <t>Jonah</t>
  </si>
  <si>
    <t>Seitz</t>
  </si>
  <si>
    <t>David Wilkinson</t>
  </si>
  <si>
    <t>David</t>
  </si>
  <si>
    <t>Wilkinson</t>
  </si>
  <si>
    <t>Charlotte Edwards</t>
  </si>
  <si>
    <t>Charlotte</t>
  </si>
  <si>
    <t>Edwards</t>
  </si>
  <si>
    <t>Olivia Cheung</t>
  </si>
  <si>
    <t>Olivia</t>
  </si>
  <si>
    <t>Cheung</t>
  </si>
  <si>
    <t>South</t>
  </si>
  <si>
    <t>Annabel Mettick</t>
  </si>
  <si>
    <t>Annabel</t>
  </si>
  <si>
    <t>Mettick</t>
  </si>
  <si>
    <t>Emily Whelan</t>
  </si>
  <si>
    <t>Emily</t>
  </si>
  <si>
    <t>Whelan</t>
  </si>
  <si>
    <t>Jason Jackaki</t>
  </si>
  <si>
    <t>Jason</t>
  </si>
  <si>
    <t>Jackaki</t>
  </si>
  <si>
    <t>Cory Goodwin</t>
  </si>
  <si>
    <t>Cory</t>
  </si>
  <si>
    <t>Goodwin</t>
  </si>
  <si>
    <t>Nina McDonald</t>
  </si>
  <si>
    <t>Nina</t>
  </si>
  <si>
    <t>McDonald</t>
  </si>
  <si>
    <t>Tia Cruise</t>
  </si>
  <si>
    <t>Cruise</t>
  </si>
  <si>
    <t>Ally Bryant</t>
  </si>
  <si>
    <t>Bryant</t>
  </si>
  <si>
    <t>Josh Sutherland</t>
  </si>
  <si>
    <t>Sutherland</t>
  </si>
  <si>
    <t>spencer  Cruz</t>
  </si>
  <si>
    <t>Cruz</t>
  </si>
  <si>
    <t>Bryan Maldonado</t>
  </si>
  <si>
    <t>Bryan</t>
  </si>
  <si>
    <t>Maldonado</t>
  </si>
  <si>
    <t>Sarah Gibbs</t>
  </si>
  <si>
    <t>Sarah</t>
  </si>
  <si>
    <t>Gibbs</t>
  </si>
  <si>
    <t>spencer</t>
  </si>
  <si>
    <t/>
  </si>
  <si>
    <t>TARGET</t>
  </si>
  <si>
    <t>COMMISION</t>
  </si>
  <si>
    <t>NORTH SALES</t>
  </si>
  <si>
    <t>WEST SALES</t>
  </si>
  <si>
    <t>EAST SALES</t>
  </si>
  <si>
    <t>SOUTH SALES</t>
  </si>
  <si>
    <t>Total</t>
  </si>
  <si>
    <t>Over/Under</t>
  </si>
  <si>
    <t>Region</t>
  </si>
  <si>
    <t>Total Sales</t>
  </si>
  <si>
    <t>Total Commission</t>
  </si>
  <si>
    <t>Row Labels</t>
  </si>
  <si>
    <t>Grand Total</t>
  </si>
  <si>
    <t>Jan</t>
  </si>
  <si>
    <t>Feb</t>
  </si>
  <si>
    <t>Mar</t>
  </si>
  <si>
    <t>Apr</t>
  </si>
  <si>
    <t>May</t>
  </si>
  <si>
    <t>Jun</t>
  </si>
  <si>
    <t>Jul</t>
  </si>
  <si>
    <t>Aug</t>
  </si>
  <si>
    <t>Sep</t>
  </si>
  <si>
    <t>Oct</t>
  </si>
  <si>
    <t>Nov</t>
  </si>
  <si>
    <t>Dec</t>
  </si>
  <si>
    <t>(All)</t>
  </si>
  <si>
    <t>% of Grand Total.</t>
  </si>
  <si>
    <t>Column1</t>
  </si>
  <si>
    <t>Column2</t>
  </si>
  <si>
    <t>Name</t>
  </si>
  <si>
    <t>Payroll Code</t>
  </si>
  <si>
    <t>BRITTANY_GAULT</t>
  </si>
  <si>
    <t>NE12192</t>
  </si>
  <si>
    <t>NICOLE_MAIER</t>
  </si>
  <si>
    <t>NE11021</t>
  </si>
  <si>
    <t>CLAY_CORBIN</t>
  </si>
  <si>
    <t>NE10264</t>
  </si>
  <si>
    <t>ASHLEY_DELANGE</t>
  </si>
  <si>
    <t>NE10305</t>
  </si>
  <si>
    <t>JENNIFER_VAZQUEZ</t>
  </si>
  <si>
    <t>NE11114</t>
  </si>
  <si>
    <t>MANNY_WEBSTER</t>
  </si>
  <si>
    <t>NW10414</t>
  </si>
  <si>
    <t>LUKE_REDENBAUGH</t>
  </si>
  <si>
    <t>NW12041</t>
  </si>
  <si>
    <t>DEBBIE_GODOY</t>
  </si>
  <si>
    <t>NW11115</t>
  </si>
  <si>
    <t>ELIZABETH_LAMBERT</t>
  </si>
  <si>
    <t>NW11651</t>
  </si>
  <si>
    <t>JOEL_JONES</t>
  </si>
  <si>
    <t>NW11838</t>
  </si>
  <si>
    <t>EBONY_PANE</t>
  </si>
  <si>
    <t>SE11625</t>
  </si>
  <si>
    <t>RILEY_SWEENY</t>
  </si>
  <si>
    <t>SE12053</t>
  </si>
  <si>
    <t>ALEX_WARD</t>
  </si>
  <si>
    <t>SE10902</t>
  </si>
  <si>
    <t>PAT_HANKS</t>
  </si>
  <si>
    <t>SE10360</t>
  </si>
  <si>
    <t>JESSICA_CRAIG</t>
  </si>
  <si>
    <t>SE12143</t>
  </si>
  <si>
    <t>JAMIE_WELCH</t>
  </si>
  <si>
    <t>SW10859</t>
  </si>
  <si>
    <t>DREW_WOMACK</t>
  </si>
  <si>
    <t>SW10377</t>
  </si>
  <si>
    <t>ANGELA_MACLEOD</t>
  </si>
  <si>
    <t>SW10649</t>
  </si>
  <si>
    <t>KAREN_D'AGUILAR</t>
  </si>
  <si>
    <t>SW10604</t>
  </si>
  <si>
    <t>SAM_JESSUP</t>
  </si>
  <si>
    <t>SW10730</t>
  </si>
  <si>
    <t>First name</t>
  </si>
  <si>
    <t>Column3</t>
  </si>
  <si>
    <t>Last name</t>
  </si>
  <si>
    <t>Column4</t>
  </si>
  <si>
    <t>Area code from payroll</t>
  </si>
  <si>
    <t>Column5</t>
  </si>
  <si>
    <t>Company Sales Report</t>
  </si>
  <si>
    <t>All Sales</t>
  </si>
  <si>
    <t>Copy of All Sales</t>
  </si>
  <si>
    <t>Chart</t>
  </si>
  <si>
    <t>Sales Analysis</t>
  </si>
  <si>
    <t>New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</si>
</sst>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yy;@"/>
    <numFmt numFmtId="165" formatCode="&quot;$&quot;#,##0.00;[Red]&quot;$&quot;#,##0.00"/>
    <numFmt numFmtId="166" formatCode="&quot;$&quot;#,##0.00"/>
  </numFmts>
  <fonts count="11" x14ac:knownFonts="1">
    <font>
      <sz val="11"/>
      <color theme="1"/>
      <name val="Aptos Narrow"/>
      <family val="2"/>
      <scheme val="minor"/>
    </font>
    <font>
      <b/>
      <sz val="11"/>
      <color theme="1"/>
      <name val="Aptos Narrow"/>
      <family val="2"/>
      <scheme val="minor"/>
    </font>
    <font>
      <sz val="10"/>
      <color theme="1"/>
      <name val="Courier New"/>
      <family val="3"/>
    </font>
    <font>
      <sz val="9"/>
      <color indexed="81"/>
      <name val="Tahoma"/>
      <family val="2"/>
    </font>
    <font>
      <b/>
      <sz val="9"/>
      <color indexed="81"/>
      <name val="Tahoma"/>
      <family val="2"/>
    </font>
    <font>
      <u/>
      <sz val="11"/>
      <color theme="10"/>
      <name val="Aptos Narrow"/>
      <family val="2"/>
      <scheme val="minor"/>
    </font>
    <font>
      <sz val="8"/>
      <name val="Aptos Narrow"/>
      <family val="2"/>
      <scheme val="minor"/>
    </font>
    <font>
      <b/>
      <sz val="14"/>
      <color theme="1"/>
      <name val="Tahoma"/>
      <family val="2"/>
    </font>
    <font>
      <sz val="11"/>
      <color theme="3" tint="0.249977111117893"/>
      <name val="Aptos Narrow"/>
      <family val="2"/>
      <scheme val="minor"/>
    </font>
    <font>
      <u/>
      <sz val="14"/>
      <color rgb="FF002060"/>
      <name val="Times New Roman"/>
      <family val="1"/>
    </font>
    <font>
      <sz val="14"/>
      <color rgb="FF002060"/>
      <name val="Times New Roman"/>
      <family val="1"/>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s>
  <borders count="2">
    <border>
      <left/>
      <right/>
      <top/>
      <bottom/>
      <diagonal/>
    </border>
    <border>
      <left/>
      <right/>
      <top style="double">
        <color theme="4"/>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wrapText="1"/>
    </xf>
    <xf numFmtId="164" fontId="0" fillId="0" borderId="0" xfId="0" applyNumberFormat="1"/>
    <xf numFmtId="0" fontId="2" fillId="0" borderId="0" xfId="0" applyFont="1" applyAlignment="1">
      <alignment vertical="center"/>
    </xf>
    <xf numFmtId="0" fontId="1" fillId="0" borderId="1" xfId="0" applyFont="1" applyBorder="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1" fillId="0" borderId="0" xfId="0" applyFont="1" applyAlignment="1">
      <alignment wrapText="1"/>
    </xf>
    <xf numFmtId="0" fontId="8" fillId="0" borderId="0" xfId="0" applyFont="1"/>
    <xf numFmtId="0" fontId="9" fillId="0" borderId="0" xfId="1" applyFont="1" applyAlignment="1">
      <alignment wrapText="1"/>
    </xf>
    <xf numFmtId="0" fontId="9" fillId="0" borderId="0" xfId="1" applyFont="1"/>
    <xf numFmtId="0" fontId="10" fillId="0" borderId="0" xfId="0" applyFont="1"/>
    <xf numFmtId="0" fontId="1" fillId="3" borderId="0" xfId="0" applyFont="1" applyFill="1"/>
    <xf numFmtId="0" fontId="1" fillId="3" borderId="0" xfId="0" applyFont="1" applyFill="1" applyAlignment="1">
      <alignment wrapText="1"/>
    </xf>
    <xf numFmtId="0" fontId="1" fillId="3" borderId="0" xfId="0" applyFont="1" applyFill="1" applyAlignment="1">
      <alignment horizontal="center" wrapText="1"/>
    </xf>
    <xf numFmtId="0" fontId="1" fillId="3" borderId="0" xfId="0" applyFont="1" applyFill="1" applyAlignment="1">
      <alignment horizontal="center"/>
    </xf>
    <xf numFmtId="0" fontId="1" fillId="4" borderId="0" xfId="0" applyFont="1" applyFill="1"/>
    <xf numFmtId="0" fontId="1" fillId="4" borderId="0" xfId="0" applyFont="1" applyFill="1" applyAlignment="1">
      <alignment horizontal="center"/>
    </xf>
    <xf numFmtId="0" fontId="0" fillId="5" borderId="0" xfId="0" applyFill="1" applyAlignment="1">
      <alignment vertical="center" wrapText="1"/>
    </xf>
    <xf numFmtId="166" fontId="0" fillId="5" borderId="0" xfId="0" applyNumberFormat="1" applyFill="1"/>
    <xf numFmtId="0" fontId="1" fillId="6" borderId="0" xfId="0" applyFont="1" applyFill="1" applyAlignment="1">
      <alignment horizontal="center" vertical="center" wrapText="1"/>
    </xf>
    <xf numFmtId="0" fontId="7" fillId="2" borderId="0" xfId="0" applyFont="1" applyFill="1" applyAlignment="1">
      <alignment horizontal="center" vertical="center" wrapText="1"/>
    </xf>
    <xf numFmtId="0" fontId="0" fillId="2" borderId="0" xfId="0" applyFill="1" applyAlignment="1">
      <alignment horizontal="center" vertical="center" wrapText="1"/>
    </xf>
    <xf numFmtId="0" fontId="1" fillId="2" borderId="0" xfId="0" applyFont="1" applyFill="1" applyAlignment="1">
      <alignment horizontal="center" wrapText="1"/>
    </xf>
  </cellXfs>
  <cellStyles count="2">
    <cellStyle name="Hyperlink" xfId="1" builtinId="8"/>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5" formatCode="&quot;$&quot;#,##0.00;[Red]&quot;$&quot;#,##0.0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64" formatCode="[$-409]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and Total Commision of N, S, E, W</a:t>
            </a:r>
          </a:p>
        </c:rich>
      </c:tx>
      <c:layout>
        <c:manualLayout>
          <c:xMode val="edge"/>
          <c:yMode val="edge"/>
          <c:x val="0.1215137795275590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Chart!$B$1</c:f>
              <c:strCache>
                <c:ptCount val="1"/>
                <c:pt idx="0">
                  <c:v>Total Sales</c:v>
                </c:pt>
              </c:strCache>
            </c:strRef>
          </c:tx>
          <c:spPr>
            <a:solidFill>
              <a:schemeClr val="accent1"/>
            </a:solidFill>
            <a:ln>
              <a:noFill/>
            </a:ln>
            <a:effectLst/>
          </c:spPr>
          <c:invertIfNegative val="0"/>
          <c:cat>
            <c:strRef>
              <c:f>Chart!$A$2:$A$5</c:f>
              <c:strCache>
                <c:ptCount val="4"/>
                <c:pt idx="0">
                  <c:v>North</c:v>
                </c:pt>
                <c:pt idx="1">
                  <c:v>South</c:v>
                </c:pt>
                <c:pt idx="2">
                  <c:v>East</c:v>
                </c:pt>
                <c:pt idx="3">
                  <c:v>West</c:v>
                </c:pt>
              </c:strCache>
            </c:strRef>
          </c:cat>
          <c:val>
            <c:numRef>
              <c:f>Chart!$B$2:$B$5</c:f>
              <c:numCache>
                <c:formatCode>"$"#,##0.00</c:formatCode>
                <c:ptCount val="4"/>
                <c:pt idx="0">
                  <c:v>1945833.2000000002</c:v>
                </c:pt>
                <c:pt idx="1">
                  <c:v>1812496.3000000003</c:v>
                </c:pt>
                <c:pt idx="2">
                  <c:v>1805833.5999999994</c:v>
                </c:pt>
                <c:pt idx="3">
                  <c:v>1894626.6900000013</c:v>
                </c:pt>
              </c:numCache>
            </c:numRef>
          </c:val>
          <c:extLst>
            <c:ext xmlns:c16="http://schemas.microsoft.com/office/drawing/2014/chart" uri="{C3380CC4-5D6E-409C-BE32-E72D297353CC}">
              <c16:uniqueId val="{00000000-1D96-487E-B9F5-41E93D13BE1E}"/>
            </c:ext>
          </c:extLst>
        </c:ser>
        <c:ser>
          <c:idx val="1"/>
          <c:order val="1"/>
          <c:tx>
            <c:strRef>
              <c:f>Chart!$C$1</c:f>
              <c:strCache>
                <c:ptCount val="1"/>
                <c:pt idx="0">
                  <c:v>Total Commission</c:v>
                </c:pt>
              </c:strCache>
            </c:strRef>
          </c:tx>
          <c:spPr>
            <a:solidFill>
              <a:srgbClr val="92D050"/>
            </a:solidFill>
            <a:ln>
              <a:noFill/>
            </a:ln>
            <a:effectLst/>
          </c:spPr>
          <c:invertIfNegative val="0"/>
          <c:cat>
            <c:strRef>
              <c:f>Chart!$A$2:$A$5</c:f>
              <c:strCache>
                <c:ptCount val="4"/>
                <c:pt idx="0">
                  <c:v>North</c:v>
                </c:pt>
                <c:pt idx="1">
                  <c:v>South</c:v>
                </c:pt>
                <c:pt idx="2">
                  <c:v>East</c:v>
                </c:pt>
                <c:pt idx="3">
                  <c:v>West</c:v>
                </c:pt>
              </c:strCache>
            </c:strRef>
          </c:cat>
          <c:val>
            <c:numRef>
              <c:f>Chart!$C$2:$C$5</c:f>
              <c:numCache>
                <c:formatCode>"$"#,##0.00</c:formatCode>
                <c:ptCount val="4"/>
                <c:pt idx="0">
                  <c:v>157168.13000000003</c:v>
                </c:pt>
                <c:pt idx="1">
                  <c:v>138552.42000000001</c:v>
                </c:pt>
                <c:pt idx="2">
                  <c:v>147698.53000000003</c:v>
                </c:pt>
                <c:pt idx="3">
                  <c:v>128660.96</c:v>
                </c:pt>
              </c:numCache>
            </c:numRef>
          </c:val>
          <c:extLst>
            <c:ext xmlns:c16="http://schemas.microsoft.com/office/drawing/2014/chart" uri="{C3380CC4-5D6E-409C-BE32-E72D297353CC}">
              <c16:uniqueId val="{00000001-1D96-487E-B9F5-41E93D13BE1E}"/>
            </c:ext>
          </c:extLst>
        </c:ser>
        <c:dLbls>
          <c:showLegendKey val="0"/>
          <c:showVal val="0"/>
          <c:showCatName val="0"/>
          <c:showSerName val="0"/>
          <c:showPercent val="0"/>
          <c:showBubbleSize val="0"/>
        </c:dLbls>
        <c:gapWidth val="219"/>
        <c:overlap val="-27"/>
        <c:axId val="740240943"/>
        <c:axId val="740261103"/>
      </c:barChart>
      <c:catAx>
        <c:axId val="74024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61103"/>
        <c:crosses val="autoZero"/>
        <c:auto val="1"/>
        <c:lblAlgn val="ctr"/>
        <c:lblOffset val="100"/>
        <c:noMultiLvlLbl val="0"/>
      </c:catAx>
      <c:valAx>
        <c:axId val="740261103"/>
        <c:scaling>
          <c:orientation val="minMax"/>
          <c:max val="2000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4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a:scene3d>
      <a:camera prst="orthographicFront"/>
      <a:lightRig rig="soft" dir="t"/>
    </a:scene3d>
    <a:sp3d prstMaterial="matte">
      <a:bevelT w="50800" h="127000" prst="convex"/>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114300</xdr:colOff>
      <xdr:row>3</xdr:row>
      <xdr:rowOff>118110</xdr:rowOff>
    </xdr:from>
    <xdr:to>
      <xdr:col>15</xdr:col>
      <xdr:colOff>419100</xdr:colOff>
      <xdr:row>18</xdr:row>
      <xdr:rowOff>110490</xdr:rowOff>
    </xdr:to>
    <xdr:graphicFrame macro="">
      <xdr:nvGraphicFramePr>
        <xdr:cNvPr id="2" name="Chart 1" descr="This chart shows the total sales and commission per region based on summary data&#10;">
          <a:extLst>
            <a:ext uri="{FF2B5EF4-FFF2-40B4-BE49-F238E27FC236}">
              <a16:creationId xmlns:a16="http://schemas.microsoft.com/office/drawing/2014/main" id="{46C057B3-DAE5-D06B-9CAA-2E31B8500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419100</xdr:colOff>
      <xdr:row>4</xdr:row>
      <xdr:rowOff>167640</xdr:rowOff>
    </xdr:from>
    <xdr:to>
      <xdr:col>8</xdr:col>
      <xdr:colOff>419100</xdr:colOff>
      <xdr:row>19</xdr:row>
      <xdr:rowOff>5715</xdr:rowOff>
    </xdr:to>
    <mc:AlternateContent xmlns:mc="http://schemas.openxmlformats.org/markup-compatibility/2006" xmlns:a14="http://schemas.microsoft.com/office/drawing/2010/main">
      <mc:Choice Requires="a14">
        <xdr:graphicFrame macro="">
          <xdr:nvGraphicFramePr>
            <xdr:cNvPr id="2" name="Employee">
              <a:extLst>
                <a:ext uri="{FF2B5EF4-FFF2-40B4-BE49-F238E27FC236}">
                  <a16:creationId xmlns:a16="http://schemas.microsoft.com/office/drawing/2014/main" id="{6248A652-D02F-C64C-E71B-7990CE17A378}"/>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4389120" y="899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5</xdr:row>
      <xdr:rowOff>45720</xdr:rowOff>
    </xdr:from>
    <xdr:to>
      <xdr:col>12</xdr:col>
      <xdr:colOff>182880</xdr:colOff>
      <xdr:row>19</xdr:row>
      <xdr:rowOff>66675</xdr:rowOff>
    </xdr:to>
    <mc:AlternateContent xmlns:mc="http://schemas.openxmlformats.org/markup-compatibility/2006" xmlns:a14="http://schemas.microsoft.com/office/drawing/2010/main">
      <mc:Choice Requires="a14">
        <xdr:graphicFrame macro="">
          <xdr:nvGraphicFramePr>
            <xdr:cNvPr id="3" name="Sales Area">
              <a:extLst>
                <a:ext uri="{FF2B5EF4-FFF2-40B4-BE49-F238E27FC236}">
                  <a16:creationId xmlns:a16="http://schemas.microsoft.com/office/drawing/2014/main" id="{7990A0E4-AB72-785A-FF4E-DD23F15AE7E7}"/>
                </a:ext>
              </a:extLst>
            </xdr:cNvPr>
            <xdr:cNvGraphicFramePr/>
          </xdr:nvGraphicFramePr>
          <xdr:xfrm>
            <a:off x="0" y="0"/>
            <a:ext cx="0" cy="0"/>
          </xdr:xfrm>
          <a:graphic>
            <a:graphicData uri="http://schemas.microsoft.com/office/drawing/2010/slicer">
              <sle:slicer xmlns:sle="http://schemas.microsoft.com/office/drawing/2010/slicer" name="Sales Area"/>
            </a:graphicData>
          </a:graphic>
        </xdr:graphicFrame>
      </mc:Choice>
      <mc:Fallback xmlns="">
        <xdr:sp macro="" textlink="">
          <xdr:nvSpPr>
            <xdr:cNvPr id="0" name=""/>
            <xdr:cNvSpPr>
              <a:spLocks noTextEdit="1"/>
            </xdr:cNvSpPr>
          </xdr:nvSpPr>
          <xdr:spPr>
            <a:xfrm>
              <a:off x="6591300" y="9601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3.788382870371" createdVersion="8" refreshedVersion="8" minRefreshableVersion="3" recordCount="487" xr:uid="{601709CB-825F-483D-AA5E-0FE4F6542CDD}">
  <cacheSource type="worksheet">
    <worksheetSource name="Sales_data"/>
  </cacheSource>
  <cacheFields count="12">
    <cacheField name="Month" numFmtId="164">
      <sharedItems containsSemiMixedTypes="0" containsNonDate="0" containsDate="1" containsString="0" minDate="2025-01-21T00:00:00" maxDate="2025-12-26T00:00:00" count="23">
        <d v="2025-01-21T00:00:00"/>
        <d v="2025-01-25T00:00:00"/>
        <d v="2025-02-21T00:00:00"/>
        <d v="2025-02-25T00:00:00"/>
        <d v="2025-03-21T00:00:00"/>
        <d v="2025-03-25T00:00:00"/>
        <d v="2025-04-21T00:00:00"/>
        <d v="2025-04-25T00:00:00"/>
        <d v="2025-05-21T00:00:00"/>
        <d v="2025-06-21T00:00:00"/>
        <d v="2025-06-25T00:00:00"/>
        <d v="2025-07-21T00:00:00"/>
        <d v="2025-07-25T00:00:00"/>
        <d v="2025-08-21T00:00:00"/>
        <d v="2025-08-25T00:00:00"/>
        <d v="2025-09-21T00:00:00"/>
        <d v="2025-09-25T00:00:00"/>
        <d v="2025-10-21T00:00:00"/>
        <d v="2025-10-25T00:00:00"/>
        <d v="2025-11-21T00:00:00"/>
        <d v="2025-11-25T00:00:00"/>
        <d v="2025-12-21T00:00:00"/>
        <d v="2025-12-25T00:00:00"/>
      </sharedItems>
      <fieldGroup par="11"/>
    </cacheField>
    <cacheField name="Employee" numFmtId="0">
      <sharedItems count="21">
        <s v="Chloe Fusaro"/>
        <s v="Jonah Seitz"/>
        <s v="David Wilkinson"/>
        <s v="Charlotte Edwards"/>
        <s v="Olivia Cheung"/>
        <s v="Annabel Mettick"/>
        <s v="Emily Whelan"/>
        <s v="Jason Jackaki"/>
        <s v="Cory Goodwin"/>
        <s v="Ashley Almanza"/>
        <s v="Derek Godwin"/>
        <s v="Reza Jafari"/>
        <s v="Gordon Beswick"/>
        <s v="spencer  Cruz"/>
        <s v="Josh Sutherland"/>
        <s v="Ally Bryant"/>
        <s v="Tia Cruise"/>
        <s v="Bryan Maldonado"/>
        <s v="Nina McDonald"/>
        <s v="Sarah Gibbs"/>
        <s v="spencer "/>
      </sharedItems>
    </cacheField>
    <cacheField name="First Name" numFmtId="0">
      <sharedItems/>
    </cacheField>
    <cacheField name="Last Name" numFmtId="0">
      <sharedItems/>
    </cacheField>
    <cacheField name="Sales Area" numFmtId="0">
      <sharedItems count="4">
        <s v="North"/>
        <s v="South"/>
        <s v="East"/>
        <s v="West"/>
      </sharedItems>
    </cacheField>
    <cacheField name="Sales Amount" numFmtId="0">
      <sharedItems containsSemiMixedTypes="0" containsString="0" containsNumber="1" minValue="299.72000000000003" maxValue="51531.199999999997"/>
    </cacheField>
    <cacheField name="Payment Type" numFmtId="0">
      <sharedItems count="3">
        <s v="Cash"/>
        <s v="On Account"/>
        <s v="Credit Card"/>
      </sharedItems>
    </cacheField>
    <cacheField name="TARGET" numFmtId="0">
      <sharedItems containsSemiMixedTypes="0" containsString="0" containsNumber="1" containsInteger="1" minValue="15000" maxValue="15000"/>
    </cacheField>
    <cacheField name="COMMISION" numFmtId="0">
      <sharedItems containsSemiMixedTypes="0" containsString="0" containsNumber="1" minValue="0" maxValue="5153.12"/>
    </cacheField>
    <cacheField name="Over/Under" numFmtId="165">
      <sharedItems containsSemiMixedTypes="0" containsString="0" containsNumber="1" minValue="-14700.28" maxValue="36531.199999999997"/>
    </cacheField>
    <cacheField name="Days (Month)" numFmtId="0" databaseField="0">
      <fieldGroup base="0">
        <rangePr groupBy="days" startDate="2025-01-21T00:00:00" endDate="2025-12-26T00:00:00"/>
        <groupItems count="368">
          <s v="&lt;1/2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5"/>
        </groupItems>
      </fieldGroup>
    </cacheField>
    <cacheField name="Months (Month)" numFmtId="0" databaseField="0">
      <fieldGroup base="0">
        <rangePr groupBy="months" startDate="2025-01-21T00:00:00" endDate="2025-12-26T00:00:00"/>
        <groupItems count="14">
          <s v="&lt;1/21/2025"/>
          <s v="Jan"/>
          <s v="Feb"/>
          <s v="Mar"/>
          <s v="Apr"/>
          <s v="May"/>
          <s v="Jun"/>
          <s v="Jul"/>
          <s v="Aug"/>
          <s v="Sep"/>
          <s v="Oct"/>
          <s v="Nov"/>
          <s v="Dec"/>
          <s v="&gt;12/26/2025"/>
        </groupItems>
      </fieldGroup>
    </cacheField>
  </cacheFields>
  <extLst>
    <ext xmlns:x14="http://schemas.microsoft.com/office/spreadsheetml/2009/9/main" uri="{725AE2AE-9491-48be-B2B4-4EB974FC3084}">
      <x14:pivotCacheDefinition pivotCacheId="792158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s v="Chloe"/>
    <s v="Fusaro"/>
    <x v="0"/>
    <n v="3035.1"/>
    <x v="0"/>
    <n v="15000"/>
    <n v="0"/>
    <n v="-11964.9"/>
  </r>
  <r>
    <x v="0"/>
    <x v="1"/>
    <s v="Jonah"/>
    <s v="Seitz"/>
    <x v="0"/>
    <n v="3710"/>
    <x v="1"/>
    <n v="15000"/>
    <n v="0"/>
    <n v="-11290"/>
  </r>
  <r>
    <x v="0"/>
    <x v="0"/>
    <s v="Chloe"/>
    <s v="Fusaro"/>
    <x v="0"/>
    <n v="6201"/>
    <x v="1"/>
    <n v="15000"/>
    <n v="0"/>
    <n v="-8799"/>
  </r>
  <r>
    <x v="0"/>
    <x v="2"/>
    <s v="David"/>
    <s v="Wilkinson"/>
    <x v="0"/>
    <n v="6311.4"/>
    <x v="1"/>
    <n v="15000"/>
    <n v="0"/>
    <n v="-8688.6"/>
  </r>
  <r>
    <x v="0"/>
    <x v="3"/>
    <s v="Charlotte"/>
    <s v="Edwards"/>
    <x v="0"/>
    <n v="6600"/>
    <x v="2"/>
    <n v="15000"/>
    <n v="0"/>
    <n v="-8400"/>
  </r>
  <r>
    <x v="0"/>
    <x v="3"/>
    <s v="Charlotte"/>
    <s v="Edwards"/>
    <x v="0"/>
    <n v="6688"/>
    <x v="0"/>
    <n v="15000"/>
    <n v="0"/>
    <n v="-8312"/>
  </r>
  <r>
    <x v="0"/>
    <x v="4"/>
    <s v="Olivia"/>
    <s v="Cheung"/>
    <x v="1"/>
    <n v="3008.4"/>
    <x v="0"/>
    <n v="15000"/>
    <n v="0"/>
    <n v="-11991.6"/>
  </r>
  <r>
    <x v="0"/>
    <x v="5"/>
    <s v="Annabel"/>
    <s v="Mettick"/>
    <x v="1"/>
    <n v="3386.6"/>
    <x v="0"/>
    <n v="15000"/>
    <n v="0"/>
    <n v="-11613.4"/>
  </r>
  <r>
    <x v="0"/>
    <x v="5"/>
    <s v="Annabel"/>
    <s v="Mettick"/>
    <x v="1"/>
    <n v="3596"/>
    <x v="0"/>
    <n v="15000"/>
    <n v="0"/>
    <n v="-11404"/>
  </r>
  <r>
    <x v="0"/>
    <x v="6"/>
    <s v="Emily"/>
    <s v="Whelan"/>
    <x v="1"/>
    <n v="4028"/>
    <x v="2"/>
    <n v="15000"/>
    <n v="0"/>
    <n v="-10972"/>
  </r>
  <r>
    <x v="0"/>
    <x v="7"/>
    <s v="Jason"/>
    <s v="Jackaki"/>
    <x v="1"/>
    <n v="4201.6000000000004"/>
    <x v="0"/>
    <n v="15000"/>
    <n v="0"/>
    <n v="-10798.4"/>
  </r>
  <r>
    <x v="0"/>
    <x v="4"/>
    <s v="Olivia"/>
    <s v="Cheung"/>
    <x v="1"/>
    <n v="5532.8"/>
    <x v="0"/>
    <n v="15000"/>
    <n v="0"/>
    <n v="-9467.2000000000007"/>
  </r>
  <r>
    <x v="0"/>
    <x v="8"/>
    <s v="Cory"/>
    <s v="Goodwin"/>
    <x v="1"/>
    <n v="6300"/>
    <x v="1"/>
    <n v="15000"/>
    <n v="0"/>
    <n v="-8700"/>
  </r>
  <r>
    <x v="0"/>
    <x v="9"/>
    <s v="Ashley"/>
    <s v="Almanza"/>
    <x v="2"/>
    <n v="2070.3000000000002"/>
    <x v="2"/>
    <n v="15000"/>
    <n v="0"/>
    <n v="-12929.7"/>
  </r>
  <r>
    <x v="0"/>
    <x v="10"/>
    <s v="Derek"/>
    <s v="Godwin"/>
    <x v="2"/>
    <n v="2311.5"/>
    <x v="0"/>
    <n v="15000"/>
    <n v="0"/>
    <n v="-12688.5"/>
  </r>
  <r>
    <x v="0"/>
    <x v="11"/>
    <s v="Reza"/>
    <s v="Jafari"/>
    <x v="2"/>
    <n v="2954.7"/>
    <x v="0"/>
    <n v="15000"/>
    <n v="0"/>
    <n v="-12045.3"/>
  </r>
  <r>
    <x v="0"/>
    <x v="12"/>
    <s v="Gordon"/>
    <s v="Beswick"/>
    <x v="2"/>
    <n v="3013.5"/>
    <x v="0"/>
    <n v="15000"/>
    <n v="0"/>
    <n v="-11986.5"/>
  </r>
  <r>
    <x v="0"/>
    <x v="11"/>
    <s v="Reza"/>
    <s v="Jafari"/>
    <x v="2"/>
    <n v="3055.2"/>
    <x v="2"/>
    <n v="15000"/>
    <n v="0"/>
    <n v="-11944.8"/>
  </r>
  <r>
    <x v="0"/>
    <x v="12"/>
    <s v="Gordon"/>
    <s v="Beswick"/>
    <x v="2"/>
    <n v="3243.6"/>
    <x v="2"/>
    <n v="15000"/>
    <n v="0"/>
    <n v="-11756.4"/>
  </r>
  <r>
    <x v="0"/>
    <x v="10"/>
    <s v="Derek"/>
    <s v="Godwin"/>
    <x v="2"/>
    <n v="3818"/>
    <x v="2"/>
    <n v="15000"/>
    <n v="0"/>
    <n v="-11182"/>
  </r>
  <r>
    <x v="0"/>
    <x v="9"/>
    <s v="Ashley"/>
    <s v="Almanza"/>
    <x v="2"/>
    <n v="4843.3999999999996"/>
    <x v="1"/>
    <n v="15000"/>
    <n v="0"/>
    <n v="-10156.6"/>
  </r>
  <r>
    <x v="0"/>
    <x v="10"/>
    <s v="Derek"/>
    <s v="Godwin"/>
    <x v="2"/>
    <n v="5130"/>
    <x v="0"/>
    <n v="15000"/>
    <n v="0"/>
    <n v="-9870"/>
  </r>
  <r>
    <x v="0"/>
    <x v="10"/>
    <s v="Derek"/>
    <s v="Godwin"/>
    <x v="2"/>
    <n v="5215.2"/>
    <x v="1"/>
    <n v="15000"/>
    <n v="0"/>
    <n v="-9784.7999999999993"/>
  </r>
  <r>
    <x v="0"/>
    <x v="12"/>
    <s v="Gordon"/>
    <s v="Beswick"/>
    <x v="2"/>
    <n v="5287.5"/>
    <x v="0"/>
    <n v="15000"/>
    <n v="0"/>
    <n v="-9712.5"/>
  </r>
  <r>
    <x v="0"/>
    <x v="9"/>
    <s v="Ashley"/>
    <s v="Almanza"/>
    <x v="2"/>
    <n v="5572.3"/>
    <x v="2"/>
    <n v="15000"/>
    <n v="0"/>
    <n v="-9427.7000000000007"/>
  </r>
  <r>
    <x v="0"/>
    <x v="13"/>
    <s v="spencer"/>
    <s v="Cruz"/>
    <x v="3"/>
    <n v="900.48"/>
    <x v="2"/>
    <n v="15000"/>
    <n v="0"/>
    <n v="-14099.52"/>
  </r>
  <r>
    <x v="0"/>
    <x v="13"/>
    <s v="spencer"/>
    <s v="Cruz"/>
    <x v="3"/>
    <n v="4224.91"/>
    <x v="0"/>
    <n v="15000"/>
    <n v="0"/>
    <n v="-10775.09"/>
  </r>
  <r>
    <x v="0"/>
    <x v="14"/>
    <s v="Josh"/>
    <s v="Sutherland"/>
    <x v="3"/>
    <n v="2399.7600000000002"/>
    <x v="2"/>
    <n v="15000"/>
    <n v="0"/>
    <n v="-12600.24"/>
  </r>
  <r>
    <x v="0"/>
    <x v="13"/>
    <s v="spencer"/>
    <s v="Cruz"/>
    <x v="3"/>
    <n v="2791.64"/>
    <x v="1"/>
    <n v="15000"/>
    <n v="0"/>
    <n v="-12208.36"/>
  </r>
  <r>
    <x v="0"/>
    <x v="15"/>
    <s v="Ally"/>
    <s v="Bryant"/>
    <x v="3"/>
    <n v="2071.7600000000002"/>
    <x v="0"/>
    <n v="15000"/>
    <n v="0"/>
    <n v="-12928.24"/>
  </r>
  <r>
    <x v="0"/>
    <x v="14"/>
    <s v="Josh"/>
    <s v="Sutherland"/>
    <x v="3"/>
    <n v="1983.64"/>
    <x v="2"/>
    <n v="15000"/>
    <n v="0"/>
    <n v="-13016.36"/>
  </r>
  <r>
    <x v="0"/>
    <x v="14"/>
    <s v="Josh"/>
    <s v="Sutherland"/>
    <x v="3"/>
    <n v="1961.75"/>
    <x v="1"/>
    <n v="15000"/>
    <n v="0"/>
    <n v="-13038.25"/>
  </r>
  <r>
    <x v="0"/>
    <x v="14"/>
    <s v="Josh"/>
    <s v="Sutherland"/>
    <x v="3"/>
    <n v="1882.64"/>
    <x v="1"/>
    <n v="15000"/>
    <n v="0"/>
    <n v="-13117.36"/>
  </r>
  <r>
    <x v="0"/>
    <x v="16"/>
    <s v="Tia"/>
    <s v="Cruise"/>
    <x v="3"/>
    <n v="2336.4"/>
    <x v="0"/>
    <n v="15000"/>
    <n v="0"/>
    <n v="-12663.6"/>
  </r>
  <r>
    <x v="1"/>
    <x v="5"/>
    <s v="Annabel"/>
    <s v="Mettick"/>
    <x v="1"/>
    <n v="6544.8"/>
    <x v="2"/>
    <n v="15000"/>
    <n v="0"/>
    <n v="-8455.2000000000007"/>
  </r>
  <r>
    <x v="1"/>
    <x v="17"/>
    <s v="Bryan"/>
    <s v="Maldonado"/>
    <x v="2"/>
    <n v="6796.8"/>
    <x v="2"/>
    <n v="15000"/>
    <n v="0"/>
    <n v="-8203.2000000000007"/>
  </r>
  <r>
    <x v="1"/>
    <x v="17"/>
    <s v="Bryan"/>
    <s v="Maldonado"/>
    <x v="2"/>
    <n v="7029.9"/>
    <x v="1"/>
    <n v="15000"/>
    <n v="0"/>
    <n v="-7970.1"/>
  </r>
  <r>
    <x v="1"/>
    <x v="11"/>
    <s v="Reza"/>
    <s v="Jafari"/>
    <x v="2"/>
    <n v="7199.7"/>
    <x v="1"/>
    <n v="15000"/>
    <n v="0"/>
    <n v="-7800.3"/>
  </r>
  <r>
    <x v="1"/>
    <x v="11"/>
    <s v="Reza"/>
    <s v="Jafari"/>
    <x v="2"/>
    <n v="7497"/>
    <x v="0"/>
    <n v="15000"/>
    <n v="0"/>
    <n v="-7503"/>
  </r>
  <r>
    <x v="1"/>
    <x v="18"/>
    <s v="Nina"/>
    <s v="McDonald"/>
    <x v="3"/>
    <n v="2997.2"/>
    <x v="2"/>
    <n v="15000"/>
    <n v="0"/>
    <n v="-12002.8"/>
  </r>
  <r>
    <x v="1"/>
    <x v="16"/>
    <s v="Tia"/>
    <s v="Cruise"/>
    <x v="3"/>
    <n v="3465"/>
    <x v="0"/>
    <n v="15000"/>
    <n v="0"/>
    <n v="-11535"/>
  </r>
  <r>
    <x v="1"/>
    <x v="15"/>
    <s v="Ally"/>
    <s v="Bryant"/>
    <x v="3"/>
    <n v="3760.5"/>
    <x v="2"/>
    <n v="15000"/>
    <n v="0"/>
    <n v="-11239.5"/>
  </r>
  <r>
    <x v="1"/>
    <x v="15"/>
    <s v="Ally"/>
    <s v="Bryant"/>
    <x v="3"/>
    <n v="4322.8"/>
    <x v="1"/>
    <n v="15000"/>
    <n v="0"/>
    <n v="-10677.2"/>
  </r>
  <r>
    <x v="1"/>
    <x v="18"/>
    <s v="Nina"/>
    <s v="McDonald"/>
    <x v="3"/>
    <n v="4531"/>
    <x v="1"/>
    <n v="15000"/>
    <n v="0"/>
    <n v="-10469"/>
  </r>
  <r>
    <x v="1"/>
    <x v="14"/>
    <s v="Josh"/>
    <s v="Sutherland"/>
    <x v="3"/>
    <n v="5332.8"/>
    <x v="0"/>
    <n v="15000"/>
    <n v="0"/>
    <n v="-9667.2000000000007"/>
  </r>
  <r>
    <x v="1"/>
    <x v="14"/>
    <s v="Josh"/>
    <s v="Sutherland"/>
    <x v="3"/>
    <n v="5696.4"/>
    <x v="2"/>
    <n v="15000"/>
    <n v="0"/>
    <n v="-9303.6"/>
  </r>
  <r>
    <x v="1"/>
    <x v="13"/>
    <s v="spencer "/>
    <s v="Cruz"/>
    <x v="3"/>
    <n v="6708.9"/>
    <x v="1"/>
    <n v="15000"/>
    <n v="0"/>
    <n v="-8291.1"/>
  </r>
  <r>
    <x v="2"/>
    <x v="0"/>
    <s v="Chloe"/>
    <s v="Fusaro"/>
    <x v="0"/>
    <n v="7024.2"/>
    <x v="1"/>
    <n v="15000"/>
    <n v="0"/>
    <n v="-7975.8"/>
  </r>
  <r>
    <x v="2"/>
    <x v="3"/>
    <s v="Charlotte"/>
    <s v="Edwards"/>
    <x v="0"/>
    <n v="7139"/>
    <x v="2"/>
    <n v="15000"/>
    <n v="0"/>
    <n v="-7861"/>
  </r>
  <r>
    <x v="2"/>
    <x v="1"/>
    <s v="Jonah"/>
    <s v="Seitz"/>
    <x v="0"/>
    <n v="7289.6"/>
    <x v="2"/>
    <n v="15000"/>
    <n v="0"/>
    <n v="-7710.4"/>
  </r>
  <r>
    <x v="2"/>
    <x v="3"/>
    <s v="Charlotte"/>
    <s v="Edwards"/>
    <x v="0"/>
    <n v="7416.9"/>
    <x v="1"/>
    <n v="15000"/>
    <n v="0"/>
    <n v="-7583.1"/>
  </r>
  <r>
    <x v="2"/>
    <x v="1"/>
    <s v="Jonah"/>
    <s v="Seitz"/>
    <x v="0"/>
    <n v="7582"/>
    <x v="2"/>
    <n v="15000"/>
    <n v="0"/>
    <n v="-7418"/>
  </r>
  <r>
    <x v="2"/>
    <x v="2"/>
    <s v="David"/>
    <s v="Wilkinson"/>
    <x v="0"/>
    <n v="7721.6"/>
    <x v="2"/>
    <n v="15000"/>
    <n v="0"/>
    <n v="-7278.4"/>
  </r>
  <r>
    <x v="2"/>
    <x v="5"/>
    <s v="Annabel"/>
    <s v="Mettick"/>
    <x v="1"/>
    <n v="6804"/>
    <x v="2"/>
    <n v="15000"/>
    <n v="0"/>
    <n v="-8196"/>
  </r>
  <r>
    <x v="2"/>
    <x v="6"/>
    <s v="Emily"/>
    <s v="Whelan"/>
    <x v="1"/>
    <n v="6872.8"/>
    <x v="2"/>
    <n v="15000"/>
    <n v="0"/>
    <n v="-8127.2"/>
  </r>
  <r>
    <x v="2"/>
    <x v="8"/>
    <s v="Cory"/>
    <s v="Goodwin"/>
    <x v="1"/>
    <n v="6960"/>
    <x v="1"/>
    <n v="15000"/>
    <n v="0"/>
    <n v="-8040"/>
  </r>
  <r>
    <x v="2"/>
    <x v="6"/>
    <s v="Emily"/>
    <s v="Whelan"/>
    <x v="1"/>
    <n v="7008"/>
    <x v="1"/>
    <n v="15000"/>
    <n v="0"/>
    <n v="-7992"/>
  </r>
  <r>
    <x v="2"/>
    <x v="7"/>
    <s v="Jason"/>
    <s v="Jackaki"/>
    <x v="1"/>
    <n v="7221.6"/>
    <x v="1"/>
    <n v="15000"/>
    <n v="0"/>
    <n v="-7778.4"/>
  </r>
  <r>
    <x v="2"/>
    <x v="12"/>
    <s v="Gordon"/>
    <s v="Beswick"/>
    <x v="2"/>
    <n v="7717.5"/>
    <x v="1"/>
    <n v="15000"/>
    <n v="0"/>
    <n v="-7282.5"/>
  </r>
  <r>
    <x v="2"/>
    <x v="17"/>
    <s v="Bryan"/>
    <s v="Maldonado"/>
    <x v="2"/>
    <n v="8188"/>
    <x v="1"/>
    <n v="15000"/>
    <n v="0"/>
    <n v="-6812"/>
  </r>
  <r>
    <x v="2"/>
    <x v="17"/>
    <s v="Bryan"/>
    <s v="Maldonado"/>
    <x v="2"/>
    <n v="8625"/>
    <x v="0"/>
    <n v="15000"/>
    <n v="0"/>
    <n v="-6375"/>
  </r>
  <r>
    <x v="2"/>
    <x v="11"/>
    <s v="Reza"/>
    <s v="Jafari"/>
    <x v="2"/>
    <n v="8683.2000000000007"/>
    <x v="0"/>
    <n v="15000"/>
    <n v="0"/>
    <n v="-6316.7999999999993"/>
  </r>
  <r>
    <x v="2"/>
    <x v="10"/>
    <s v="Derek"/>
    <s v="Godwin"/>
    <x v="2"/>
    <n v="8686.6"/>
    <x v="0"/>
    <n v="15000"/>
    <n v="0"/>
    <n v="-6313.4"/>
  </r>
  <r>
    <x v="2"/>
    <x v="16"/>
    <s v="Tia"/>
    <s v="Cruise"/>
    <x v="3"/>
    <n v="6751.8"/>
    <x v="0"/>
    <n v="15000"/>
    <n v="0"/>
    <n v="-8248.2000000000007"/>
  </r>
  <r>
    <x v="2"/>
    <x v="14"/>
    <s v="Josh"/>
    <s v="Sutherland"/>
    <x v="3"/>
    <n v="6900"/>
    <x v="0"/>
    <n v="15000"/>
    <n v="0"/>
    <n v="-8100"/>
  </r>
  <r>
    <x v="2"/>
    <x v="18"/>
    <s v="Nina"/>
    <s v="McDonald"/>
    <x v="3"/>
    <n v="6945.4"/>
    <x v="1"/>
    <n v="15000"/>
    <n v="0"/>
    <n v="-8054.6"/>
  </r>
  <r>
    <x v="2"/>
    <x v="13"/>
    <s v="spencer "/>
    <s v="Cruz"/>
    <x v="3"/>
    <n v="7009.2"/>
    <x v="0"/>
    <n v="15000"/>
    <n v="0"/>
    <n v="-7990.8"/>
  </r>
  <r>
    <x v="2"/>
    <x v="14"/>
    <s v="Josh"/>
    <s v="Sutherland"/>
    <x v="3"/>
    <n v="7088.9"/>
    <x v="2"/>
    <n v="15000"/>
    <n v="0"/>
    <n v="-7911.1"/>
  </r>
  <r>
    <x v="2"/>
    <x v="16"/>
    <s v="Tia"/>
    <s v="Cruise"/>
    <x v="3"/>
    <n v="7196"/>
    <x v="0"/>
    <n v="15000"/>
    <n v="0"/>
    <n v="-7804"/>
  </r>
  <r>
    <x v="2"/>
    <x v="18"/>
    <s v="Nina"/>
    <s v="McDonald"/>
    <x v="3"/>
    <n v="7343.2"/>
    <x v="0"/>
    <n v="15000"/>
    <n v="0"/>
    <n v="-7656.8"/>
  </r>
  <r>
    <x v="2"/>
    <x v="18"/>
    <s v="Nina"/>
    <s v="McDonald"/>
    <x v="3"/>
    <n v="7356.6"/>
    <x v="2"/>
    <n v="15000"/>
    <n v="0"/>
    <n v="-7643.4"/>
  </r>
  <r>
    <x v="2"/>
    <x v="18"/>
    <s v="Nina"/>
    <s v="McDonald"/>
    <x v="3"/>
    <n v="7658.2"/>
    <x v="1"/>
    <n v="15000"/>
    <n v="0"/>
    <n v="-7341.8"/>
  </r>
  <r>
    <x v="2"/>
    <x v="15"/>
    <s v="Ally"/>
    <s v="Bryant"/>
    <x v="3"/>
    <n v="7658.6"/>
    <x v="0"/>
    <n v="15000"/>
    <n v="0"/>
    <n v="-7341.4"/>
  </r>
  <r>
    <x v="2"/>
    <x v="16"/>
    <s v="Tia"/>
    <s v="Cruise"/>
    <x v="3"/>
    <n v="7714"/>
    <x v="2"/>
    <n v="15000"/>
    <n v="0"/>
    <n v="-7286"/>
  </r>
  <r>
    <x v="2"/>
    <x v="14"/>
    <s v="Josh"/>
    <s v="Sutherland"/>
    <x v="3"/>
    <n v="7982.7"/>
    <x v="1"/>
    <n v="15000"/>
    <n v="0"/>
    <n v="-7017.3"/>
  </r>
  <r>
    <x v="3"/>
    <x v="19"/>
    <s v="Sarah"/>
    <s v="Gibbs"/>
    <x v="0"/>
    <n v="8001"/>
    <x v="2"/>
    <n v="15000"/>
    <n v="0"/>
    <n v="-6999"/>
  </r>
  <r>
    <x v="3"/>
    <x v="1"/>
    <s v="Jonah"/>
    <s v="Seitz"/>
    <x v="0"/>
    <n v="8284.5"/>
    <x v="0"/>
    <n v="15000"/>
    <n v="0"/>
    <n v="-6715.5"/>
  </r>
  <r>
    <x v="3"/>
    <x v="9"/>
    <s v="Ashley"/>
    <s v="Almanza"/>
    <x v="2"/>
    <n v="8810.9"/>
    <x v="2"/>
    <n v="15000"/>
    <n v="0"/>
    <n v="-6189.1"/>
  </r>
  <r>
    <x v="3"/>
    <x v="11"/>
    <s v="Reza"/>
    <s v="Jafari"/>
    <x v="2"/>
    <n v="9058.4"/>
    <x v="2"/>
    <n v="15000"/>
    <n v="0"/>
    <n v="-5941.6"/>
  </r>
  <r>
    <x v="3"/>
    <x v="11"/>
    <s v="Reza"/>
    <s v="Jafari"/>
    <x v="2"/>
    <n v="9499"/>
    <x v="0"/>
    <n v="15000"/>
    <n v="0"/>
    <n v="-5501"/>
  </r>
  <r>
    <x v="3"/>
    <x v="10"/>
    <s v="Derek"/>
    <s v="Godwin"/>
    <x v="2"/>
    <n v="9651.2000000000007"/>
    <x v="2"/>
    <n v="15000"/>
    <n v="0"/>
    <n v="-5348.7999999999993"/>
  </r>
  <r>
    <x v="3"/>
    <x v="11"/>
    <s v="Reza"/>
    <s v="Jafari"/>
    <x v="2"/>
    <n v="9794"/>
    <x v="0"/>
    <n v="15000"/>
    <n v="0"/>
    <n v="-5206"/>
  </r>
  <r>
    <x v="4"/>
    <x v="1"/>
    <s v="Jonah"/>
    <s v="Seitz"/>
    <x v="0"/>
    <n v="8322.4"/>
    <x v="2"/>
    <n v="15000"/>
    <n v="0"/>
    <n v="-6677.6"/>
  </r>
  <r>
    <x v="4"/>
    <x v="3"/>
    <s v="Charlotte"/>
    <s v="Edwards"/>
    <x v="0"/>
    <n v="8501.9"/>
    <x v="0"/>
    <n v="15000"/>
    <n v="0"/>
    <n v="-6498.1"/>
  </r>
  <r>
    <x v="4"/>
    <x v="0"/>
    <s v="Chloe"/>
    <s v="Fusaro"/>
    <x v="0"/>
    <n v="8520"/>
    <x v="1"/>
    <n v="15000"/>
    <n v="0"/>
    <n v="-6480"/>
  </r>
  <r>
    <x v="4"/>
    <x v="0"/>
    <s v="Chloe"/>
    <s v="Fusaro"/>
    <x v="0"/>
    <n v="8721.6"/>
    <x v="1"/>
    <n v="15000"/>
    <n v="0"/>
    <n v="-6278.4"/>
  </r>
  <r>
    <x v="4"/>
    <x v="1"/>
    <s v="Jonah"/>
    <s v="Seitz"/>
    <x v="0"/>
    <n v="8772"/>
    <x v="0"/>
    <n v="15000"/>
    <n v="0"/>
    <n v="-6228"/>
  </r>
  <r>
    <x v="4"/>
    <x v="1"/>
    <s v="Jonah"/>
    <s v="Seitz"/>
    <x v="0"/>
    <n v="8925.7000000000007"/>
    <x v="2"/>
    <n v="15000"/>
    <n v="0"/>
    <n v="-6074.2999999999993"/>
  </r>
  <r>
    <x v="4"/>
    <x v="2"/>
    <s v="David"/>
    <s v="Wilkinson"/>
    <x v="0"/>
    <n v="9270.1"/>
    <x v="2"/>
    <n v="15000"/>
    <n v="0"/>
    <n v="-5729.9"/>
  </r>
  <r>
    <x v="4"/>
    <x v="19"/>
    <s v="Sarah"/>
    <s v="Gibbs"/>
    <x v="0"/>
    <n v="9292.5"/>
    <x v="0"/>
    <n v="15000"/>
    <n v="0"/>
    <n v="-5707.5"/>
  </r>
  <r>
    <x v="4"/>
    <x v="0"/>
    <s v="Chloe"/>
    <s v="Fusaro"/>
    <x v="0"/>
    <n v="9708.2999999999993"/>
    <x v="0"/>
    <n v="15000"/>
    <n v="0"/>
    <n v="-5291.7000000000007"/>
  </r>
  <r>
    <x v="4"/>
    <x v="1"/>
    <s v="Jonah"/>
    <s v="Seitz"/>
    <x v="0"/>
    <n v="10500"/>
    <x v="0"/>
    <n v="15000"/>
    <n v="0"/>
    <n v="-4500"/>
  </r>
  <r>
    <x v="4"/>
    <x v="0"/>
    <s v="Chloe"/>
    <s v="Fusaro"/>
    <x v="0"/>
    <n v="10758.7"/>
    <x v="0"/>
    <n v="15000"/>
    <n v="0"/>
    <n v="-4241.2999999999993"/>
  </r>
  <r>
    <x v="4"/>
    <x v="1"/>
    <s v="Jonah"/>
    <s v="Seitz"/>
    <x v="0"/>
    <n v="10948"/>
    <x v="0"/>
    <n v="15000"/>
    <n v="0"/>
    <n v="-4052"/>
  </r>
  <r>
    <x v="4"/>
    <x v="1"/>
    <s v="Jonah"/>
    <s v="Seitz"/>
    <x v="0"/>
    <n v="10988.8"/>
    <x v="2"/>
    <n v="15000"/>
    <n v="0"/>
    <n v="-4011.2000000000007"/>
  </r>
  <r>
    <x v="4"/>
    <x v="2"/>
    <s v="David"/>
    <s v="Wilkinson"/>
    <x v="0"/>
    <n v="11235"/>
    <x v="1"/>
    <n v="15000"/>
    <n v="0"/>
    <n v="-3765"/>
  </r>
  <r>
    <x v="4"/>
    <x v="19"/>
    <s v="Sarah"/>
    <s v="Gibbs"/>
    <x v="0"/>
    <n v="12019.8"/>
    <x v="2"/>
    <n v="15000"/>
    <n v="0"/>
    <n v="-2980.2000000000007"/>
  </r>
  <r>
    <x v="4"/>
    <x v="5"/>
    <s v="Annabel"/>
    <s v="Mettick"/>
    <x v="1"/>
    <n v="8082.8"/>
    <x v="2"/>
    <n v="15000"/>
    <n v="0"/>
    <n v="-6917.2"/>
  </r>
  <r>
    <x v="4"/>
    <x v="4"/>
    <s v="Olivia"/>
    <s v="Cheung"/>
    <x v="1"/>
    <n v="8099.7"/>
    <x v="2"/>
    <n v="15000"/>
    <n v="0"/>
    <n v="-6900.3"/>
  </r>
  <r>
    <x v="4"/>
    <x v="7"/>
    <s v="Jason"/>
    <s v="Jackaki"/>
    <x v="1"/>
    <n v="8524.4"/>
    <x v="1"/>
    <n v="15000"/>
    <n v="0"/>
    <n v="-6475.6"/>
  </r>
  <r>
    <x v="4"/>
    <x v="5"/>
    <s v="Annabel"/>
    <s v="Mettick"/>
    <x v="1"/>
    <n v="8772"/>
    <x v="1"/>
    <n v="15000"/>
    <n v="0"/>
    <n v="-6228"/>
  </r>
  <r>
    <x v="4"/>
    <x v="5"/>
    <s v="Annabel"/>
    <s v="Mettick"/>
    <x v="1"/>
    <n v="8827"/>
    <x v="1"/>
    <n v="15000"/>
    <n v="0"/>
    <n v="-6173"/>
  </r>
  <r>
    <x v="4"/>
    <x v="5"/>
    <s v="Annabel"/>
    <s v="Mettick"/>
    <x v="1"/>
    <n v="9006"/>
    <x v="1"/>
    <n v="15000"/>
    <n v="0"/>
    <n v="-5994"/>
  </r>
  <r>
    <x v="4"/>
    <x v="8"/>
    <s v="Cory"/>
    <s v="Goodwin"/>
    <x v="1"/>
    <n v="9405.2999999999993"/>
    <x v="0"/>
    <n v="15000"/>
    <n v="0"/>
    <n v="-5594.7000000000007"/>
  </r>
  <r>
    <x v="4"/>
    <x v="6"/>
    <s v="Emily"/>
    <s v="Whelan"/>
    <x v="1"/>
    <n v="9627.9"/>
    <x v="2"/>
    <n v="15000"/>
    <n v="0"/>
    <n v="-5372.1"/>
  </r>
  <r>
    <x v="4"/>
    <x v="6"/>
    <s v="Emily"/>
    <s v="Whelan"/>
    <x v="1"/>
    <n v="9704.2000000000007"/>
    <x v="1"/>
    <n v="15000"/>
    <n v="0"/>
    <n v="-5295.7999999999993"/>
  </r>
  <r>
    <x v="4"/>
    <x v="7"/>
    <s v="Jason"/>
    <s v="Jackaki"/>
    <x v="1"/>
    <n v="9826.4"/>
    <x v="1"/>
    <n v="15000"/>
    <n v="0"/>
    <n v="-5173.6000000000004"/>
  </r>
  <r>
    <x v="4"/>
    <x v="8"/>
    <s v="Cory"/>
    <s v="Goodwin"/>
    <x v="1"/>
    <n v="9836.7999999999993"/>
    <x v="2"/>
    <n v="15000"/>
    <n v="0"/>
    <n v="-5163.2000000000007"/>
  </r>
  <r>
    <x v="4"/>
    <x v="5"/>
    <s v="Annabel"/>
    <s v="Mettick"/>
    <x v="1"/>
    <n v="9840"/>
    <x v="0"/>
    <n v="15000"/>
    <n v="0"/>
    <n v="-5160"/>
  </r>
  <r>
    <x v="4"/>
    <x v="5"/>
    <s v="Annabel"/>
    <s v="Mettick"/>
    <x v="1"/>
    <n v="10032"/>
    <x v="2"/>
    <n v="15000"/>
    <n v="0"/>
    <n v="-4968"/>
  </r>
  <r>
    <x v="4"/>
    <x v="9"/>
    <s v="Ashley"/>
    <s v="Almanza"/>
    <x v="2"/>
    <n v="10492.2"/>
    <x v="1"/>
    <n v="15000"/>
    <n v="0"/>
    <n v="-4507.7999999999993"/>
  </r>
  <r>
    <x v="4"/>
    <x v="9"/>
    <s v="Ashley"/>
    <s v="Almanza"/>
    <x v="2"/>
    <n v="11210"/>
    <x v="1"/>
    <n v="15000"/>
    <n v="0"/>
    <n v="-3790"/>
  </r>
  <r>
    <x v="4"/>
    <x v="12"/>
    <s v="Gordon"/>
    <s v="Beswick"/>
    <x v="2"/>
    <n v="11617.6"/>
    <x v="0"/>
    <n v="15000"/>
    <n v="0"/>
    <n v="-3382.3999999999996"/>
  </r>
  <r>
    <x v="4"/>
    <x v="17"/>
    <s v="Bryan"/>
    <s v="Maldonado"/>
    <x v="2"/>
    <n v="11914.4"/>
    <x v="0"/>
    <n v="15000"/>
    <n v="0"/>
    <n v="-3085.6000000000004"/>
  </r>
  <r>
    <x v="4"/>
    <x v="17"/>
    <s v="Bryan"/>
    <s v="Maldonado"/>
    <x v="2"/>
    <n v="12096"/>
    <x v="1"/>
    <n v="15000"/>
    <n v="0"/>
    <n v="-2904"/>
  </r>
  <r>
    <x v="4"/>
    <x v="15"/>
    <s v="Ally"/>
    <s v="Bryant"/>
    <x v="3"/>
    <n v="8065.6"/>
    <x v="1"/>
    <n v="15000"/>
    <n v="0"/>
    <n v="-6934.4"/>
  </r>
  <r>
    <x v="4"/>
    <x v="13"/>
    <s v="spencer "/>
    <s v="Cruz"/>
    <x v="3"/>
    <n v="8095.5"/>
    <x v="2"/>
    <n v="15000"/>
    <n v="0"/>
    <n v="-6904.5"/>
  </r>
  <r>
    <x v="4"/>
    <x v="15"/>
    <s v="Ally"/>
    <s v="Bryant"/>
    <x v="3"/>
    <n v="8694"/>
    <x v="2"/>
    <n v="15000"/>
    <n v="0"/>
    <n v="-6306"/>
  </r>
  <r>
    <x v="4"/>
    <x v="18"/>
    <s v="Nina"/>
    <s v="McDonald"/>
    <x v="3"/>
    <n v="8914.5"/>
    <x v="2"/>
    <n v="15000"/>
    <n v="0"/>
    <n v="-6085.5"/>
  </r>
  <r>
    <x v="4"/>
    <x v="13"/>
    <s v="spencer "/>
    <s v="Cruz"/>
    <x v="3"/>
    <n v="9004.7999999999993"/>
    <x v="2"/>
    <n v="15000"/>
    <n v="0"/>
    <n v="-5995.2000000000007"/>
  </r>
  <r>
    <x v="4"/>
    <x v="14"/>
    <s v="Josh"/>
    <s v="Sutherland"/>
    <x v="3"/>
    <n v="9098.6"/>
    <x v="1"/>
    <n v="15000"/>
    <n v="0"/>
    <n v="-5901.4"/>
  </r>
  <r>
    <x v="4"/>
    <x v="15"/>
    <s v="Ally"/>
    <s v="Bryant"/>
    <x v="3"/>
    <n v="9116"/>
    <x v="2"/>
    <n v="15000"/>
    <n v="0"/>
    <n v="-5884"/>
  </r>
  <r>
    <x v="4"/>
    <x v="15"/>
    <s v="Ally"/>
    <s v="Bryant"/>
    <x v="3"/>
    <n v="9574.7999999999993"/>
    <x v="0"/>
    <n v="15000"/>
    <n v="0"/>
    <n v="-5425.2000000000007"/>
  </r>
  <r>
    <x v="4"/>
    <x v="13"/>
    <s v="spencer "/>
    <s v="Cruz"/>
    <x v="3"/>
    <n v="9683"/>
    <x v="1"/>
    <n v="15000"/>
    <n v="0"/>
    <n v="-5317"/>
  </r>
  <r>
    <x v="4"/>
    <x v="15"/>
    <s v="Ally"/>
    <s v="Bryant"/>
    <x v="3"/>
    <n v="9697.6"/>
    <x v="0"/>
    <n v="15000"/>
    <n v="0"/>
    <n v="-5302.4"/>
  </r>
  <r>
    <x v="4"/>
    <x v="18"/>
    <s v="Nina"/>
    <s v="McDonald"/>
    <x v="3"/>
    <n v="10019.200000000001"/>
    <x v="1"/>
    <n v="15000"/>
    <n v="0"/>
    <n v="-4980.7999999999993"/>
  </r>
  <r>
    <x v="4"/>
    <x v="15"/>
    <s v="Ally"/>
    <s v="Bryant"/>
    <x v="3"/>
    <n v="10067.200000000001"/>
    <x v="1"/>
    <n v="15000"/>
    <n v="0"/>
    <n v="-4932.7999999999993"/>
  </r>
  <r>
    <x v="4"/>
    <x v="14"/>
    <s v="Josh"/>
    <s v="Sutherland"/>
    <x v="3"/>
    <n v="10110.299999999999"/>
    <x v="2"/>
    <n v="15000"/>
    <n v="0"/>
    <n v="-4889.7000000000007"/>
  </r>
  <r>
    <x v="4"/>
    <x v="15"/>
    <s v="Ally"/>
    <s v="Bryant"/>
    <x v="3"/>
    <n v="10176"/>
    <x v="0"/>
    <n v="15000"/>
    <n v="0"/>
    <n v="-4824"/>
  </r>
  <r>
    <x v="5"/>
    <x v="2"/>
    <s v="David"/>
    <s v="Wilkinson"/>
    <x v="0"/>
    <n v="12124.2"/>
    <x v="1"/>
    <n v="15000"/>
    <n v="0"/>
    <n v="-2875.7999999999993"/>
  </r>
  <r>
    <x v="5"/>
    <x v="5"/>
    <s v="Annabel"/>
    <s v="Mettick"/>
    <x v="1"/>
    <n v="10200"/>
    <x v="1"/>
    <n v="15000"/>
    <n v="0"/>
    <n v="-4800"/>
  </r>
  <r>
    <x v="5"/>
    <x v="7"/>
    <s v="Jason"/>
    <s v="Jackaki"/>
    <x v="1"/>
    <n v="10218"/>
    <x v="0"/>
    <n v="15000"/>
    <n v="0"/>
    <n v="-4782"/>
  </r>
  <r>
    <x v="5"/>
    <x v="7"/>
    <s v="Jason"/>
    <s v="Jackaki"/>
    <x v="1"/>
    <n v="10573.5"/>
    <x v="2"/>
    <n v="15000"/>
    <n v="0"/>
    <n v="-4426.5"/>
  </r>
  <r>
    <x v="5"/>
    <x v="4"/>
    <s v="Olivia"/>
    <s v="Cheung"/>
    <x v="1"/>
    <n v="10903.2"/>
    <x v="0"/>
    <n v="15000"/>
    <n v="0"/>
    <n v="-4096.7999999999993"/>
  </r>
  <r>
    <x v="5"/>
    <x v="8"/>
    <s v="Cory"/>
    <s v="Goodwin"/>
    <x v="1"/>
    <n v="10948"/>
    <x v="2"/>
    <n v="15000"/>
    <n v="0"/>
    <n v="-4052"/>
  </r>
  <r>
    <x v="5"/>
    <x v="7"/>
    <s v="Jason"/>
    <s v="Jackaki"/>
    <x v="1"/>
    <n v="11166.3"/>
    <x v="0"/>
    <n v="15000"/>
    <n v="0"/>
    <n v="-3833.7000000000007"/>
  </r>
  <r>
    <x v="5"/>
    <x v="5"/>
    <s v="Annabel"/>
    <s v="Mettick"/>
    <x v="1"/>
    <n v="11403"/>
    <x v="0"/>
    <n v="15000"/>
    <n v="0"/>
    <n v="-3597"/>
  </r>
  <r>
    <x v="5"/>
    <x v="5"/>
    <s v="Annabel"/>
    <s v="Mettick"/>
    <x v="1"/>
    <n v="11554.4"/>
    <x v="0"/>
    <n v="15000"/>
    <n v="0"/>
    <n v="-3445.6000000000004"/>
  </r>
  <r>
    <x v="5"/>
    <x v="15"/>
    <s v="Ally"/>
    <s v="Bryant"/>
    <x v="3"/>
    <n v="10391.700000000001"/>
    <x v="1"/>
    <n v="15000"/>
    <n v="0"/>
    <n v="-4608.2999999999993"/>
  </r>
  <r>
    <x v="5"/>
    <x v="18"/>
    <s v="Nina"/>
    <s v="McDonald"/>
    <x v="3"/>
    <n v="10451.200000000001"/>
    <x v="2"/>
    <n v="15000"/>
    <n v="0"/>
    <n v="-4548.7999999999993"/>
  </r>
  <r>
    <x v="5"/>
    <x v="14"/>
    <s v="Josh"/>
    <s v="Sutherland"/>
    <x v="3"/>
    <n v="10595.2"/>
    <x v="1"/>
    <n v="15000"/>
    <n v="0"/>
    <n v="-4404.7999999999993"/>
  </r>
  <r>
    <x v="5"/>
    <x v="15"/>
    <s v="Ally"/>
    <s v="Bryant"/>
    <x v="3"/>
    <n v="10649"/>
    <x v="1"/>
    <n v="15000"/>
    <n v="0"/>
    <n v="-4351"/>
  </r>
  <r>
    <x v="5"/>
    <x v="14"/>
    <s v="Josh"/>
    <s v="Sutherland"/>
    <x v="3"/>
    <n v="10679.4"/>
    <x v="1"/>
    <n v="15000"/>
    <n v="0"/>
    <n v="-4320.6000000000004"/>
  </r>
  <r>
    <x v="5"/>
    <x v="16"/>
    <s v="Tia"/>
    <s v="Cruise"/>
    <x v="3"/>
    <n v="10694.7"/>
    <x v="1"/>
    <n v="15000"/>
    <n v="0"/>
    <n v="-4305.2999999999993"/>
  </r>
  <r>
    <x v="5"/>
    <x v="13"/>
    <s v="spencer "/>
    <s v="Cruz"/>
    <x v="3"/>
    <n v="11155.5"/>
    <x v="2"/>
    <n v="15000"/>
    <n v="0"/>
    <n v="-3844.5"/>
  </r>
  <r>
    <x v="6"/>
    <x v="1"/>
    <s v="Jonah"/>
    <s v="Seitz"/>
    <x v="0"/>
    <n v="12306.6"/>
    <x v="0"/>
    <n v="15000"/>
    <n v="0"/>
    <n v="-2693.3999999999996"/>
  </r>
  <r>
    <x v="6"/>
    <x v="1"/>
    <s v="Jonah"/>
    <s v="Seitz"/>
    <x v="0"/>
    <n v="12944.4"/>
    <x v="0"/>
    <n v="15000"/>
    <n v="0"/>
    <n v="-2055.6000000000004"/>
  </r>
  <r>
    <x v="6"/>
    <x v="0"/>
    <s v="Chloe"/>
    <s v="Fusaro"/>
    <x v="0"/>
    <n v="13310.4"/>
    <x v="2"/>
    <n v="15000"/>
    <n v="0"/>
    <n v="-1689.6000000000004"/>
  </r>
  <r>
    <x v="6"/>
    <x v="2"/>
    <s v="David"/>
    <s v="Wilkinson"/>
    <x v="0"/>
    <n v="13467"/>
    <x v="1"/>
    <n v="15000"/>
    <n v="0"/>
    <n v="-1533"/>
  </r>
  <r>
    <x v="6"/>
    <x v="2"/>
    <s v="David"/>
    <s v="Wilkinson"/>
    <x v="0"/>
    <n v="13479.4"/>
    <x v="1"/>
    <n v="15000"/>
    <n v="0"/>
    <n v="-1520.6000000000004"/>
  </r>
  <r>
    <x v="6"/>
    <x v="1"/>
    <s v="Jonah"/>
    <s v="Seitz"/>
    <x v="0"/>
    <n v="14089.2"/>
    <x v="0"/>
    <n v="15000"/>
    <n v="0"/>
    <n v="-910.79999999999927"/>
  </r>
  <r>
    <x v="6"/>
    <x v="0"/>
    <s v="Chloe"/>
    <s v="Fusaro"/>
    <x v="0"/>
    <n v="14248"/>
    <x v="0"/>
    <n v="15000"/>
    <n v="0"/>
    <n v="-752"/>
  </r>
  <r>
    <x v="6"/>
    <x v="3"/>
    <s v="Charlotte"/>
    <s v="Edwards"/>
    <x v="0"/>
    <n v="14301.6"/>
    <x v="1"/>
    <n v="15000"/>
    <n v="0"/>
    <n v="-698.39999999999964"/>
  </r>
  <r>
    <x v="6"/>
    <x v="4"/>
    <s v="Olivia"/>
    <s v="Cheung"/>
    <x v="1"/>
    <n v="12144"/>
    <x v="0"/>
    <n v="15000"/>
    <n v="0"/>
    <n v="-2856"/>
  </r>
  <r>
    <x v="6"/>
    <x v="8"/>
    <s v="Cory"/>
    <s v="Goodwin"/>
    <x v="1"/>
    <n v="12328"/>
    <x v="0"/>
    <n v="15000"/>
    <n v="0"/>
    <n v="-2672"/>
  </r>
  <r>
    <x v="6"/>
    <x v="7"/>
    <s v="Jason"/>
    <s v="Jackaki"/>
    <x v="1"/>
    <n v="13044.9"/>
    <x v="2"/>
    <n v="15000"/>
    <n v="0"/>
    <n v="-1955.1000000000004"/>
  </r>
  <r>
    <x v="6"/>
    <x v="6"/>
    <s v="Emily"/>
    <s v="Whelan"/>
    <x v="1"/>
    <n v="13230"/>
    <x v="0"/>
    <n v="15000"/>
    <n v="0"/>
    <n v="-1770"/>
  </r>
  <r>
    <x v="6"/>
    <x v="4"/>
    <s v="Olivia"/>
    <s v="Cheung"/>
    <x v="1"/>
    <n v="13244.7"/>
    <x v="2"/>
    <n v="15000"/>
    <n v="0"/>
    <n v="-1755.2999999999993"/>
  </r>
  <r>
    <x v="6"/>
    <x v="8"/>
    <s v="Cory"/>
    <s v="Goodwin"/>
    <x v="1"/>
    <n v="13674"/>
    <x v="0"/>
    <n v="15000"/>
    <n v="0"/>
    <n v="-1326"/>
  </r>
  <r>
    <x v="6"/>
    <x v="5"/>
    <s v="Annabel"/>
    <s v="Mettick"/>
    <x v="1"/>
    <n v="13725.6"/>
    <x v="1"/>
    <n v="15000"/>
    <n v="0"/>
    <n v="-1274.3999999999996"/>
  </r>
  <r>
    <x v="6"/>
    <x v="4"/>
    <s v="Olivia"/>
    <s v="Cheung"/>
    <x v="1"/>
    <n v="13923"/>
    <x v="1"/>
    <n v="15000"/>
    <n v="0"/>
    <n v="-1077"/>
  </r>
  <r>
    <x v="6"/>
    <x v="11"/>
    <s v="Reza"/>
    <s v="Jafari"/>
    <x v="2"/>
    <n v="12422.2"/>
    <x v="1"/>
    <n v="15000"/>
    <n v="0"/>
    <n v="-2577.7999999999993"/>
  </r>
  <r>
    <x v="6"/>
    <x v="11"/>
    <s v="Reza"/>
    <s v="Jafari"/>
    <x v="2"/>
    <n v="12633.6"/>
    <x v="0"/>
    <n v="15000"/>
    <n v="0"/>
    <n v="-2366.3999999999996"/>
  </r>
  <r>
    <x v="6"/>
    <x v="12"/>
    <s v="Gordon"/>
    <s v="Beswick"/>
    <x v="2"/>
    <n v="12765.2"/>
    <x v="1"/>
    <n v="15000"/>
    <n v="0"/>
    <n v="-2234.7999999999993"/>
  </r>
  <r>
    <x v="6"/>
    <x v="12"/>
    <s v="Gordon"/>
    <s v="Beswick"/>
    <x v="2"/>
    <n v="12806.4"/>
    <x v="1"/>
    <n v="15000"/>
    <n v="0"/>
    <n v="-2193.6000000000004"/>
  </r>
  <r>
    <x v="6"/>
    <x v="11"/>
    <s v="Reza"/>
    <s v="Jafari"/>
    <x v="2"/>
    <n v="13797"/>
    <x v="2"/>
    <n v="15000"/>
    <n v="0"/>
    <n v="-1203"/>
  </r>
  <r>
    <x v="6"/>
    <x v="17"/>
    <s v="Bryan"/>
    <s v="Maldonado"/>
    <x v="2"/>
    <n v="14063"/>
    <x v="0"/>
    <n v="15000"/>
    <n v="0"/>
    <n v="-937"/>
  </r>
  <r>
    <x v="6"/>
    <x v="11"/>
    <s v="Reza"/>
    <s v="Jafari"/>
    <x v="2"/>
    <n v="14608.3"/>
    <x v="2"/>
    <n v="15000"/>
    <n v="0"/>
    <n v="-391.70000000000073"/>
  </r>
  <r>
    <x v="6"/>
    <x v="17"/>
    <s v="Bryan"/>
    <s v="Maldonado"/>
    <x v="2"/>
    <n v="14670"/>
    <x v="2"/>
    <n v="15000"/>
    <n v="0"/>
    <n v="-330"/>
  </r>
  <r>
    <x v="6"/>
    <x v="15"/>
    <s v="Ally"/>
    <s v="Bryant"/>
    <x v="3"/>
    <n v="11543"/>
    <x v="2"/>
    <n v="15000"/>
    <n v="0"/>
    <n v="-3457"/>
  </r>
  <r>
    <x v="6"/>
    <x v="18"/>
    <s v="Nina"/>
    <s v="McDonald"/>
    <x v="3"/>
    <n v="11580.4"/>
    <x v="0"/>
    <n v="15000"/>
    <n v="0"/>
    <n v="-3419.6000000000004"/>
  </r>
  <r>
    <x v="6"/>
    <x v="18"/>
    <s v="Nina"/>
    <s v="McDonald"/>
    <x v="3"/>
    <n v="11716.5"/>
    <x v="2"/>
    <n v="15000"/>
    <n v="0"/>
    <n v="-3283.5"/>
  </r>
  <r>
    <x v="6"/>
    <x v="14"/>
    <s v="Josh"/>
    <s v="Sutherland"/>
    <x v="3"/>
    <n v="14235.4"/>
    <x v="1"/>
    <n v="15000"/>
    <n v="0"/>
    <n v="-764.60000000000036"/>
  </r>
  <r>
    <x v="6"/>
    <x v="15"/>
    <s v="Ally"/>
    <s v="Bryant"/>
    <x v="3"/>
    <n v="14301.6"/>
    <x v="0"/>
    <n v="15000"/>
    <n v="0"/>
    <n v="-698.39999999999964"/>
  </r>
  <r>
    <x v="6"/>
    <x v="15"/>
    <s v="Ally"/>
    <s v="Bryant"/>
    <x v="3"/>
    <n v="14302.9"/>
    <x v="2"/>
    <n v="15000"/>
    <n v="0"/>
    <n v="-697.10000000000036"/>
  </r>
  <r>
    <x v="7"/>
    <x v="3"/>
    <s v="Charlotte"/>
    <s v="Edwards"/>
    <x v="0"/>
    <n v="14392"/>
    <x v="2"/>
    <n v="15000"/>
    <n v="0"/>
    <n v="-608"/>
  </r>
  <r>
    <x v="7"/>
    <x v="1"/>
    <s v="Jonah"/>
    <s v="Seitz"/>
    <x v="0"/>
    <n v="15246"/>
    <x v="2"/>
    <n v="15000"/>
    <n v="1524.6000000000001"/>
    <n v="246"/>
  </r>
  <r>
    <x v="7"/>
    <x v="9"/>
    <s v="Ashley"/>
    <s v="Almanza"/>
    <x v="2"/>
    <n v="15029"/>
    <x v="0"/>
    <n v="15000"/>
    <n v="1502.9"/>
    <n v="29"/>
  </r>
  <r>
    <x v="7"/>
    <x v="12"/>
    <s v="Gordon"/>
    <s v="Beswick"/>
    <x v="2"/>
    <n v="15120"/>
    <x v="0"/>
    <n v="15000"/>
    <n v="1512"/>
    <n v="120"/>
  </r>
  <r>
    <x v="7"/>
    <x v="9"/>
    <s v="Ashley"/>
    <s v="Almanza"/>
    <x v="2"/>
    <n v="15264"/>
    <x v="0"/>
    <n v="15000"/>
    <n v="1526.4"/>
    <n v="264"/>
  </r>
  <r>
    <x v="7"/>
    <x v="9"/>
    <s v="Ashley"/>
    <s v="Almanza"/>
    <x v="2"/>
    <n v="15919.7"/>
    <x v="2"/>
    <n v="15000"/>
    <n v="1591.9700000000003"/>
    <n v="919.70000000000073"/>
  </r>
  <r>
    <x v="7"/>
    <x v="10"/>
    <s v="Derek"/>
    <s v="Godwin"/>
    <x v="2"/>
    <n v="15922"/>
    <x v="1"/>
    <n v="15000"/>
    <n v="1592.2"/>
    <n v="922"/>
  </r>
  <r>
    <x v="8"/>
    <x v="1"/>
    <s v="Jonah"/>
    <s v="Seitz"/>
    <x v="0"/>
    <n v="15802.6"/>
    <x v="1"/>
    <n v="15000"/>
    <n v="1580.2600000000002"/>
    <n v="802.60000000000036"/>
  </r>
  <r>
    <x v="8"/>
    <x v="2"/>
    <s v="David"/>
    <s v="Wilkinson"/>
    <x v="0"/>
    <n v="15957.2"/>
    <x v="1"/>
    <n v="15000"/>
    <n v="1595.7200000000003"/>
    <n v="957.20000000000073"/>
  </r>
  <r>
    <x v="8"/>
    <x v="1"/>
    <s v="Jonah"/>
    <s v="Seitz"/>
    <x v="0"/>
    <n v="16036.8"/>
    <x v="0"/>
    <n v="15000"/>
    <n v="1603.68"/>
    <n v="1036.7999999999993"/>
  </r>
  <r>
    <x v="8"/>
    <x v="1"/>
    <s v="Jonah"/>
    <s v="Seitz"/>
    <x v="0"/>
    <n v="16077"/>
    <x v="0"/>
    <n v="15000"/>
    <n v="1607.7"/>
    <n v="1077"/>
  </r>
  <r>
    <x v="8"/>
    <x v="19"/>
    <s v="Sarah"/>
    <s v="Gibbs"/>
    <x v="0"/>
    <n v="16492"/>
    <x v="2"/>
    <n v="15000"/>
    <n v="1649.2"/>
    <n v="1492"/>
  </r>
  <r>
    <x v="8"/>
    <x v="0"/>
    <s v="Chloe"/>
    <s v="Fusaro"/>
    <x v="0"/>
    <n v="16604.400000000001"/>
    <x v="0"/>
    <n v="15000"/>
    <n v="1660.4400000000003"/>
    <n v="1604.4000000000015"/>
  </r>
  <r>
    <x v="8"/>
    <x v="0"/>
    <s v="Chloe"/>
    <s v="Fusaro"/>
    <x v="0"/>
    <n v="16702.400000000001"/>
    <x v="0"/>
    <n v="15000"/>
    <n v="1670.2400000000002"/>
    <n v="1702.4000000000015"/>
  </r>
  <r>
    <x v="8"/>
    <x v="3"/>
    <s v="Charlotte"/>
    <s v="Edwards"/>
    <x v="0"/>
    <n v="16846.8"/>
    <x v="0"/>
    <n v="15000"/>
    <n v="1684.68"/>
    <n v="1846.7999999999993"/>
  </r>
  <r>
    <x v="8"/>
    <x v="3"/>
    <s v="Charlotte"/>
    <s v="Edwards"/>
    <x v="0"/>
    <n v="17204.400000000001"/>
    <x v="2"/>
    <n v="15000"/>
    <n v="1720.4400000000003"/>
    <n v="2204.4000000000015"/>
  </r>
  <r>
    <x v="8"/>
    <x v="3"/>
    <s v="Charlotte"/>
    <s v="Edwards"/>
    <x v="0"/>
    <n v="17335.2"/>
    <x v="1"/>
    <n v="15000"/>
    <n v="1733.5200000000002"/>
    <n v="2335.2000000000007"/>
  </r>
  <r>
    <x v="8"/>
    <x v="5"/>
    <s v="Annabel"/>
    <s v="Mettick"/>
    <x v="1"/>
    <n v="14311.2"/>
    <x v="2"/>
    <n v="15000"/>
    <n v="0"/>
    <n v="-688.79999999999927"/>
  </r>
  <r>
    <x v="8"/>
    <x v="5"/>
    <s v="Annabel"/>
    <s v="Mettick"/>
    <x v="1"/>
    <n v="14616"/>
    <x v="0"/>
    <n v="15000"/>
    <n v="0"/>
    <n v="-384"/>
  </r>
  <r>
    <x v="8"/>
    <x v="5"/>
    <s v="Annabel"/>
    <s v="Mettick"/>
    <x v="1"/>
    <n v="14715.2"/>
    <x v="0"/>
    <n v="15000"/>
    <n v="0"/>
    <n v="-284.79999999999927"/>
  </r>
  <r>
    <x v="8"/>
    <x v="4"/>
    <s v="Olivia"/>
    <s v="Cheung"/>
    <x v="1"/>
    <n v="15262.8"/>
    <x v="1"/>
    <n v="15000"/>
    <n v="1526.28"/>
    <n v="262.79999999999927"/>
  </r>
  <r>
    <x v="8"/>
    <x v="6"/>
    <s v="Emily"/>
    <s v="Whelan"/>
    <x v="1"/>
    <n v="15353.2"/>
    <x v="2"/>
    <n v="15000"/>
    <n v="1535.3200000000002"/>
    <n v="353.20000000000073"/>
  </r>
  <r>
    <x v="8"/>
    <x v="4"/>
    <s v="Olivia"/>
    <s v="Cheung"/>
    <x v="1"/>
    <n v="15403.6"/>
    <x v="0"/>
    <n v="15000"/>
    <n v="1540.3600000000001"/>
    <n v="403.60000000000036"/>
  </r>
  <r>
    <x v="8"/>
    <x v="5"/>
    <s v="Annabel"/>
    <s v="Mettick"/>
    <x v="1"/>
    <n v="15953.6"/>
    <x v="0"/>
    <n v="15000"/>
    <n v="1595.3600000000001"/>
    <n v="953.60000000000036"/>
  </r>
  <r>
    <x v="8"/>
    <x v="12"/>
    <s v="Gordon"/>
    <s v="Beswick"/>
    <x v="2"/>
    <n v="16063.2"/>
    <x v="0"/>
    <n v="15000"/>
    <n v="1606.3200000000002"/>
    <n v="1063.2000000000007"/>
  </r>
  <r>
    <x v="8"/>
    <x v="17"/>
    <s v="Bryan"/>
    <s v="Maldonado"/>
    <x v="2"/>
    <n v="16321.6"/>
    <x v="2"/>
    <n v="15000"/>
    <n v="1632.16"/>
    <n v="1321.6000000000004"/>
  </r>
  <r>
    <x v="8"/>
    <x v="10"/>
    <s v="Derek"/>
    <s v="Godwin"/>
    <x v="2"/>
    <n v="16604.400000000001"/>
    <x v="1"/>
    <n v="15000"/>
    <n v="1660.4400000000003"/>
    <n v="1604.4000000000015"/>
  </r>
  <r>
    <x v="8"/>
    <x v="12"/>
    <s v="Gordon"/>
    <s v="Beswick"/>
    <x v="2"/>
    <n v="16606"/>
    <x v="2"/>
    <n v="15000"/>
    <n v="1660.6000000000001"/>
    <n v="1606"/>
  </r>
  <r>
    <x v="8"/>
    <x v="9"/>
    <s v="Ashley"/>
    <s v="Almanza"/>
    <x v="2"/>
    <n v="16614.400000000001"/>
    <x v="2"/>
    <n v="15000"/>
    <n v="1661.4400000000003"/>
    <n v="1614.4000000000015"/>
  </r>
  <r>
    <x v="8"/>
    <x v="10"/>
    <s v="Derek"/>
    <s v="Godwin"/>
    <x v="2"/>
    <n v="16836"/>
    <x v="2"/>
    <n v="15000"/>
    <n v="1683.6000000000001"/>
    <n v="1836"/>
  </r>
  <r>
    <x v="8"/>
    <x v="9"/>
    <s v="Ashley"/>
    <s v="Almanza"/>
    <x v="2"/>
    <n v="17353.599999999999"/>
    <x v="2"/>
    <n v="15000"/>
    <n v="1735.36"/>
    <n v="2353.5999999999985"/>
  </r>
  <r>
    <x v="8"/>
    <x v="10"/>
    <s v="Derek"/>
    <s v="Godwin"/>
    <x v="2"/>
    <n v="17766"/>
    <x v="2"/>
    <n v="15000"/>
    <n v="1776.6000000000001"/>
    <n v="2766"/>
  </r>
  <r>
    <x v="8"/>
    <x v="11"/>
    <s v="Reza"/>
    <s v="Jafari"/>
    <x v="2"/>
    <n v="17776"/>
    <x v="1"/>
    <n v="15000"/>
    <n v="1777.6000000000001"/>
    <n v="2776"/>
  </r>
  <r>
    <x v="8"/>
    <x v="11"/>
    <s v="Reza"/>
    <s v="Jafari"/>
    <x v="2"/>
    <n v="17904.7"/>
    <x v="1"/>
    <n v="15000"/>
    <n v="1790.4700000000003"/>
    <n v="2904.7000000000007"/>
  </r>
  <r>
    <x v="8"/>
    <x v="9"/>
    <s v="Ashley"/>
    <s v="Almanza"/>
    <x v="2"/>
    <n v="18396.7"/>
    <x v="2"/>
    <n v="15000"/>
    <n v="1839.67"/>
    <n v="3396.7000000000007"/>
  </r>
  <r>
    <x v="8"/>
    <x v="15"/>
    <s v="Ally"/>
    <s v="Bryant"/>
    <x v="3"/>
    <n v="14329.5"/>
    <x v="2"/>
    <n v="15000"/>
    <n v="0"/>
    <n v="-670.5"/>
  </r>
  <r>
    <x v="8"/>
    <x v="13"/>
    <s v="spencer "/>
    <s v="Cruz"/>
    <x v="3"/>
    <n v="14416"/>
    <x v="1"/>
    <n v="15000"/>
    <n v="0"/>
    <n v="-584"/>
  </r>
  <r>
    <x v="8"/>
    <x v="16"/>
    <s v="Tia"/>
    <s v="Cruise"/>
    <x v="3"/>
    <n v="15061.2"/>
    <x v="0"/>
    <n v="15000"/>
    <n v="1506.1200000000001"/>
    <n v="61.200000000000728"/>
  </r>
  <r>
    <x v="8"/>
    <x v="18"/>
    <s v="Nina"/>
    <s v="McDonald"/>
    <x v="3"/>
    <n v="15152.4"/>
    <x v="1"/>
    <n v="15000"/>
    <n v="1515.24"/>
    <n v="152.39999999999964"/>
  </r>
  <r>
    <x v="8"/>
    <x v="15"/>
    <s v="Ally"/>
    <s v="Bryant"/>
    <x v="3"/>
    <n v="15633.2"/>
    <x v="0"/>
    <n v="15000"/>
    <n v="1563.3200000000002"/>
    <n v="633.20000000000073"/>
  </r>
  <r>
    <x v="8"/>
    <x v="13"/>
    <s v="spencer "/>
    <s v="Cruz"/>
    <x v="3"/>
    <n v="15670.2"/>
    <x v="1"/>
    <n v="15000"/>
    <n v="1567.0200000000002"/>
    <n v="670.20000000000073"/>
  </r>
  <r>
    <x v="9"/>
    <x v="1"/>
    <s v="Jonah"/>
    <s v="Seitz"/>
    <x v="0"/>
    <n v="18298.400000000001"/>
    <x v="1"/>
    <n v="15000"/>
    <n v="1829.8400000000001"/>
    <n v="3298.4000000000015"/>
  </r>
  <r>
    <x v="9"/>
    <x v="5"/>
    <s v="Annabel"/>
    <s v="Mettick"/>
    <x v="1"/>
    <n v="16394.400000000001"/>
    <x v="0"/>
    <n v="15000"/>
    <n v="1639.4400000000003"/>
    <n v="1394.4000000000015"/>
  </r>
  <r>
    <x v="9"/>
    <x v="5"/>
    <s v="Annabel"/>
    <s v="Mettick"/>
    <x v="1"/>
    <n v="16606"/>
    <x v="1"/>
    <n v="15000"/>
    <n v="1660.6000000000001"/>
    <n v="1606"/>
  </r>
  <r>
    <x v="9"/>
    <x v="5"/>
    <s v="Annabel"/>
    <s v="Mettick"/>
    <x v="1"/>
    <n v="17328.3"/>
    <x v="1"/>
    <n v="15000"/>
    <n v="1732.83"/>
    <n v="2328.2999999999993"/>
  </r>
  <r>
    <x v="9"/>
    <x v="6"/>
    <s v="Emily"/>
    <s v="Whelan"/>
    <x v="1"/>
    <n v="17593.400000000001"/>
    <x v="0"/>
    <n v="15000"/>
    <n v="1759.3400000000001"/>
    <n v="2593.4000000000015"/>
  </r>
  <r>
    <x v="9"/>
    <x v="8"/>
    <s v="Cory"/>
    <s v="Goodwin"/>
    <x v="1"/>
    <n v="17666"/>
    <x v="2"/>
    <n v="15000"/>
    <n v="1766.6000000000001"/>
    <n v="2666"/>
  </r>
  <r>
    <x v="9"/>
    <x v="4"/>
    <s v="Olivia"/>
    <s v="Cheung"/>
    <x v="1"/>
    <n v="18452.599999999999"/>
    <x v="1"/>
    <n v="15000"/>
    <n v="1845.26"/>
    <n v="3452.5999999999985"/>
  </r>
  <r>
    <x v="9"/>
    <x v="11"/>
    <s v="Reza"/>
    <s v="Jafari"/>
    <x v="2"/>
    <n v="18878.400000000001"/>
    <x v="0"/>
    <n v="15000"/>
    <n v="1887.8400000000001"/>
    <n v="3878.4000000000015"/>
  </r>
  <r>
    <x v="9"/>
    <x v="10"/>
    <s v="Derek"/>
    <s v="Godwin"/>
    <x v="2"/>
    <n v="19431"/>
    <x v="0"/>
    <n v="15000"/>
    <n v="1943.1000000000001"/>
    <n v="4431"/>
  </r>
  <r>
    <x v="9"/>
    <x v="11"/>
    <s v="Reza"/>
    <s v="Jafari"/>
    <x v="2"/>
    <n v="19584"/>
    <x v="0"/>
    <n v="15000"/>
    <n v="1958.4"/>
    <n v="4584"/>
  </r>
  <r>
    <x v="9"/>
    <x v="12"/>
    <s v="Gordon"/>
    <s v="Beswick"/>
    <x v="2"/>
    <n v="19594"/>
    <x v="1"/>
    <n v="15000"/>
    <n v="1959.4"/>
    <n v="4594"/>
  </r>
  <r>
    <x v="9"/>
    <x v="11"/>
    <s v="Reza"/>
    <s v="Jafari"/>
    <x v="2"/>
    <n v="19678.8"/>
    <x v="0"/>
    <n v="15000"/>
    <n v="1967.88"/>
    <n v="4678.7999999999993"/>
  </r>
  <r>
    <x v="9"/>
    <x v="10"/>
    <s v="Derek"/>
    <s v="Godwin"/>
    <x v="2"/>
    <n v="20031.2"/>
    <x v="1"/>
    <n v="15000"/>
    <n v="2003.1200000000001"/>
    <n v="5031.2000000000007"/>
  </r>
  <r>
    <x v="9"/>
    <x v="17"/>
    <s v="Bryan"/>
    <s v="Maldonado"/>
    <x v="2"/>
    <n v="20076.7"/>
    <x v="1"/>
    <n v="15000"/>
    <n v="2007.67"/>
    <n v="5076.7000000000007"/>
  </r>
  <r>
    <x v="9"/>
    <x v="10"/>
    <s v="Derek"/>
    <s v="Godwin"/>
    <x v="2"/>
    <n v="20140"/>
    <x v="1"/>
    <n v="15000"/>
    <n v="2014"/>
    <n v="5140"/>
  </r>
  <r>
    <x v="9"/>
    <x v="11"/>
    <s v="Reza"/>
    <s v="Jafari"/>
    <x v="2"/>
    <n v="20916"/>
    <x v="2"/>
    <n v="15000"/>
    <n v="2091.6"/>
    <n v="5916"/>
  </r>
  <r>
    <x v="9"/>
    <x v="15"/>
    <s v="Ally"/>
    <s v="Bryant"/>
    <x v="3"/>
    <n v="16363.9"/>
    <x v="2"/>
    <n v="15000"/>
    <n v="1636.39"/>
    <n v="1363.8999999999996"/>
  </r>
  <r>
    <x v="9"/>
    <x v="14"/>
    <s v="Josh"/>
    <s v="Sutherland"/>
    <x v="3"/>
    <n v="16385.599999999999"/>
    <x v="2"/>
    <n v="15000"/>
    <n v="1638.56"/>
    <n v="1385.5999999999985"/>
  </r>
  <r>
    <x v="9"/>
    <x v="18"/>
    <s v="Nina"/>
    <s v="McDonald"/>
    <x v="3"/>
    <n v="16499.400000000001"/>
    <x v="0"/>
    <n v="15000"/>
    <n v="1649.9400000000003"/>
    <n v="1499.4000000000015"/>
  </r>
  <r>
    <x v="9"/>
    <x v="18"/>
    <s v="Nina"/>
    <s v="McDonald"/>
    <x v="3"/>
    <n v="16806.400000000001"/>
    <x v="2"/>
    <n v="15000"/>
    <n v="1680.6400000000003"/>
    <n v="1806.4000000000015"/>
  </r>
  <r>
    <x v="9"/>
    <x v="14"/>
    <s v="Josh"/>
    <s v="Sutherland"/>
    <x v="3"/>
    <n v="16968"/>
    <x v="1"/>
    <n v="15000"/>
    <n v="1696.8000000000002"/>
    <n v="1968"/>
  </r>
  <r>
    <x v="9"/>
    <x v="14"/>
    <s v="Josh"/>
    <s v="Sutherland"/>
    <x v="3"/>
    <n v="17262"/>
    <x v="0"/>
    <n v="15000"/>
    <n v="1726.2"/>
    <n v="2262"/>
  </r>
  <r>
    <x v="9"/>
    <x v="16"/>
    <s v="Tia"/>
    <s v="Cruise"/>
    <x v="3"/>
    <n v="17748"/>
    <x v="2"/>
    <n v="15000"/>
    <n v="1774.8000000000002"/>
    <n v="2748"/>
  </r>
  <r>
    <x v="9"/>
    <x v="15"/>
    <s v="Ally"/>
    <s v="Bryant"/>
    <x v="3"/>
    <n v="17993.5"/>
    <x v="2"/>
    <n v="15000"/>
    <n v="1799.3500000000001"/>
    <n v="2993.5"/>
  </r>
  <r>
    <x v="9"/>
    <x v="14"/>
    <s v="Josh"/>
    <s v="Sutherland"/>
    <x v="3"/>
    <n v="18188.400000000001"/>
    <x v="0"/>
    <n v="15000"/>
    <n v="1818.8400000000001"/>
    <n v="3188.4000000000015"/>
  </r>
  <r>
    <x v="10"/>
    <x v="1"/>
    <s v="Jonah"/>
    <s v="Seitz"/>
    <x v="0"/>
    <n v="18838.400000000001"/>
    <x v="1"/>
    <n v="15000"/>
    <n v="1883.8400000000001"/>
    <n v="3838.4000000000015"/>
  </r>
  <r>
    <x v="10"/>
    <x v="1"/>
    <s v="Jonah"/>
    <s v="Seitz"/>
    <x v="0"/>
    <n v="19080"/>
    <x v="0"/>
    <n v="15000"/>
    <n v="1908"/>
    <n v="4080"/>
  </r>
  <r>
    <x v="10"/>
    <x v="0"/>
    <s v="Chloe"/>
    <s v="Fusaro"/>
    <x v="0"/>
    <n v="19210.400000000001"/>
    <x v="2"/>
    <n v="15000"/>
    <n v="1921.0400000000002"/>
    <n v="4210.4000000000015"/>
  </r>
  <r>
    <x v="10"/>
    <x v="2"/>
    <s v="David"/>
    <s v="Wilkinson"/>
    <x v="0"/>
    <n v="19594"/>
    <x v="0"/>
    <n v="15000"/>
    <n v="1959.4"/>
    <n v="4594"/>
  </r>
  <r>
    <x v="10"/>
    <x v="0"/>
    <s v="Chloe"/>
    <s v="Fusaro"/>
    <x v="0"/>
    <n v="19946.2"/>
    <x v="1"/>
    <n v="15000"/>
    <n v="1994.6200000000001"/>
    <n v="4946.2000000000007"/>
  </r>
  <r>
    <x v="10"/>
    <x v="9"/>
    <s v="Ashley"/>
    <s v="Almanza"/>
    <x v="2"/>
    <n v="21169.599999999999"/>
    <x v="0"/>
    <n v="15000"/>
    <n v="2116.96"/>
    <n v="6169.5999999999985"/>
  </r>
  <r>
    <x v="11"/>
    <x v="2"/>
    <s v="David"/>
    <s v="Wilkinson"/>
    <x v="0"/>
    <n v="20366.099999999999"/>
    <x v="1"/>
    <n v="15000"/>
    <n v="2036.61"/>
    <n v="5366.0999999999985"/>
  </r>
  <r>
    <x v="11"/>
    <x v="2"/>
    <s v="David"/>
    <s v="Wilkinson"/>
    <x v="0"/>
    <n v="20880"/>
    <x v="2"/>
    <n v="15000"/>
    <n v="2088"/>
    <n v="5880"/>
  </r>
  <r>
    <x v="11"/>
    <x v="19"/>
    <s v="Sarah"/>
    <s v="Gibbs"/>
    <x v="0"/>
    <n v="21103.3"/>
    <x v="1"/>
    <n v="15000"/>
    <n v="2110.33"/>
    <n v="6103.2999999999993"/>
  </r>
  <r>
    <x v="11"/>
    <x v="0"/>
    <s v="Chloe"/>
    <s v="Fusaro"/>
    <x v="0"/>
    <n v="21216"/>
    <x v="0"/>
    <n v="15000"/>
    <n v="2121.6"/>
    <n v="6216"/>
  </r>
  <r>
    <x v="11"/>
    <x v="3"/>
    <s v="Charlotte"/>
    <s v="Edwards"/>
    <x v="0"/>
    <n v="21295.4"/>
    <x v="2"/>
    <n v="15000"/>
    <n v="2129.5400000000004"/>
    <n v="6295.4000000000015"/>
  </r>
  <r>
    <x v="11"/>
    <x v="3"/>
    <s v="Charlotte"/>
    <s v="Edwards"/>
    <x v="0"/>
    <n v="21546"/>
    <x v="2"/>
    <n v="15000"/>
    <n v="2154.6"/>
    <n v="6546"/>
  </r>
  <r>
    <x v="11"/>
    <x v="19"/>
    <s v="Sarah"/>
    <s v="Gibbs"/>
    <x v="0"/>
    <n v="22176"/>
    <x v="0"/>
    <n v="15000"/>
    <n v="2217.6"/>
    <n v="7176"/>
  </r>
  <r>
    <x v="11"/>
    <x v="6"/>
    <s v="Emily"/>
    <s v="Whelan"/>
    <x v="1"/>
    <n v="18885.900000000001"/>
    <x v="1"/>
    <n v="15000"/>
    <n v="1888.5900000000001"/>
    <n v="3885.9000000000015"/>
  </r>
  <r>
    <x v="11"/>
    <x v="4"/>
    <s v="Olivia"/>
    <s v="Cheung"/>
    <x v="1"/>
    <n v="18994.5"/>
    <x v="0"/>
    <n v="15000"/>
    <n v="1899.45"/>
    <n v="3994.5"/>
  </r>
  <r>
    <x v="11"/>
    <x v="8"/>
    <s v="Cory"/>
    <s v="Goodwin"/>
    <x v="1"/>
    <n v="19147.8"/>
    <x v="0"/>
    <n v="15000"/>
    <n v="1914.78"/>
    <n v="4147.7999999999993"/>
  </r>
  <r>
    <x v="11"/>
    <x v="7"/>
    <s v="Jason"/>
    <s v="Jackaki"/>
    <x v="1"/>
    <n v="20062.5"/>
    <x v="2"/>
    <n v="15000"/>
    <n v="2006.25"/>
    <n v="5062.5"/>
  </r>
  <r>
    <x v="11"/>
    <x v="5"/>
    <s v="Annabel"/>
    <s v="Mettick"/>
    <x v="1"/>
    <n v="20760.3"/>
    <x v="0"/>
    <n v="15000"/>
    <n v="2076.0300000000002"/>
    <n v="5760.2999999999993"/>
  </r>
  <r>
    <x v="11"/>
    <x v="8"/>
    <s v="Cory"/>
    <s v="Goodwin"/>
    <x v="1"/>
    <n v="20790"/>
    <x v="0"/>
    <n v="15000"/>
    <n v="2079"/>
    <n v="5790"/>
  </r>
  <r>
    <x v="11"/>
    <x v="5"/>
    <s v="Annabel"/>
    <s v="Mettick"/>
    <x v="1"/>
    <n v="21120.400000000001"/>
    <x v="0"/>
    <n v="15000"/>
    <n v="2112.0400000000004"/>
    <n v="6120.4000000000015"/>
  </r>
  <r>
    <x v="11"/>
    <x v="5"/>
    <s v="Annabel"/>
    <s v="Mettick"/>
    <x v="1"/>
    <n v="21420"/>
    <x v="1"/>
    <n v="15000"/>
    <n v="2142"/>
    <n v="6420"/>
  </r>
  <r>
    <x v="11"/>
    <x v="11"/>
    <s v="Reza"/>
    <s v="Jafari"/>
    <x v="2"/>
    <n v="21483"/>
    <x v="1"/>
    <n v="15000"/>
    <n v="2148.3000000000002"/>
    <n v="6483"/>
  </r>
  <r>
    <x v="11"/>
    <x v="9"/>
    <s v="Ashley"/>
    <s v="Almanza"/>
    <x v="2"/>
    <n v="21485.200000000001"/>
    <x v="0"/>
    <n v="15000"/>
    <n v="2148.52"/>
    <n v="6485.2000000000007"/>
  </r>
  <r>
    <x v="11"/>
    <x v="10"/>
    <s v="Derek"/>
    <s v="Godwin"/>
    <x v="2"/>
    <n v="21654.400000000001"/>
    <x v="0"/>
    <n v="15000"/>
    <n v="2165.44"/>
    <n v="6654.4000000000015"/>
  </r>
  <r>
    <x v="11"/>
    <x v="11"/>
    <s v="Reza"/>
    <s v="Jafari"/>
    <x v="2"/>
    <n v="22396.5"/>
    <x v="1"/>
    <n v="15000"/>
    <n v="2239.65"/>
    <n v="7396.5"/>
  </r>
  <r>
    <x v="11"/>
    <x v="17"/>
    <s v="Bryan"/>
    <s v="Maldonado"/>
    <x v="2"/>
    <n v="22607.200000000001"/>
    <x v="2"/>
    <n v="15000"/>
    <n v="2260.7200000000003"/>
    <n v="7607.2000000000007"/>
  </r>
  <r>
    <x v="11"/>
    <x v="11"/>
    <s v="Reza"/>
    <s v="Jafari"/>
    <x v="2"/>
    <n v="23445"/>
    <x v="0"/>
    <n v="15000"/>
    <n v="2344.5"/>
    <n v="8445"/>
  </r>
  <r>
    <x v="11"/>
    <x v="10"/>
    <s v="Derek"/>
    <s v="Godwin"/>
    <x v="2"/>
    <n v="23849.599999999999"/>
    <x v="2"/>
    <n v="15000"/>
    <n v="2384.96"/>
    <n v="8849.5999999999985"/>
  </r>
  <r>
    <x v="11"/>
    <x v="17"/>
    <s v="Bryan"/>
    <s v="Maldonado"/>
    <x v="2"/>
    <n v="23882.400000000001"/>
    <x v="1"/>
    <n v="15000"/>
    <n v="2388.2400000000002"/>
    <n v="8882.4000000000015"/>
  </r>
  <r>
    <x v="11"/>
    <x v="10"/>
    <s v="Derek"/>
    <s v="Godwin"/>
    <x v="2"/>
    <n v="25633.5"/>
    <x v="0"/>
    <n v="15000"/>
    <n v="2563.3500000000004"/>
    <n v="10633.5"/>
  </r>
  <r>
    <x v="11"/>
    <x v="14"/>
    <s v="Josh"/>
    <s v="Sutherland"/>
    <x v="3"/>
    <n v="18826.400000000001"/>
    <x v="1"/>
    <n v="15000"/>
    <n v="1882.6400000000003"/>
    <n v="3826.4000000000015"/>
  </r>
  <r>
    <x v="11"/>
    <x v="15"/>
    <s v="Ally"/>
    <s v="Bryant"/>
    <x v="3"/>
    <n v="19108"/>
    <x v="0"/>
    <n v="15000"/>
    <n v="1910.8000000000002"/>
    <n v="4108"/>
  </r>
  <r>
    <x v="11"/>
    <x v="18"/>
    <s v="Nina"/>
    <s v="McDonald"/>
    <x v="3"/>
    <n v="19456"/>
    <x v="2"/>
    <n v="15000"/>
    <n v="1945.6000000000001"/>
    <n v="4456"/>
  </r>
  <r>
    <x v="11"/>
    <x v="14"/>
    <s v="Josh"/>
    <s v="Sutherland"/>
    <x v="3"/>
    <n v="19617.5"/>
    <x v="1"/>
    <n v="15000"/>
    <n v="1961.75"/>
    <n v="4617.5"/>
  </r>
  <r>
    <x v="11"/>
    <x v="14"/>
    <s v="Josh"/>
    <s v="Sutherland"/>
    <x v="3"/>
    <n v="19836.400000000001"/>
    <x v="2"/>
    <n v="15000"/>
    <n v="1983.6400000000003"/>
    <n v="4836.4000000000015"/>
  </r>
  <r>
    <x v="11"/>
    <x v="15"/>
    <s v="Ally"/>
    <s v="Bryant"/>
    <x v="3"/>
    <n v="20128"/>
    <x v="1"/>
    <n v="15000"/>
    <n v="2012.8000000000002"/>
    <n v="5128"/>
  </r>
  <r>
    <x v="11"/>
    <x v="15"/>
    <s v="Ally"/>
    <s v="Bryant"/>
    <x v="3"/>
    <n v="20717.599999999999"/>
    <x v="0"/>
    <n v="15000"/>
    <n v="2071.7599999999998"/>
    <n v="5717.5999999999985"/>
  </r>
  <r>
    <x v="11"/>
    <x v="16"/>
    <s v="Tia"/>
    <s v="Cruise"/>
    <x v="3"/>
    <n v="20797.2"/>
    <x v="0"/>
    <n v="15000"/>
    <n v="2079.7200000000003"/>
    <n v="5797.2000000000007"/>
  </r>
  <r>
    <x v="11"/>
    <x v="15"/>
    <s v="Ally"/>
    <s v="Bryant"/>
    <x v="3"/>
    <n v="20868.400000000001"/>
    <x v="0"/>
    <n v="15000"/>
    <n v="2086.84"/>
    <n v="5868.4000000000015"/>
  </r>
  <r>
    <x v="11"/>
    <x v="13"/>
    <s v="spencer "/>
    <s v="Cruz"/>
    <x v="3"/>
    <n v="21168"/>
    <x v="2"/>
    <n v="15000"/>
    <n v="2116.8000000000002"/>
    <n v="6168"/>
  </r>
  <r>
    <x v="12"/>
    <x v="19"/>
    <s v="Sarah"/>
    <s v="Gibbs"/>
    <x v="0"/>
    <n v="22351.1"/>
    <x v="1"/>
    <n v="15000"/>
    <n v="2235.11"/>
    <n v="7351.0999999999985"/>
  </r>
  <r>
    <x v="12"/>
    <x v="0"/>
    <s v="Chloe"/>
    <s v="Fusaro"/>
    <x v="0"/>
    <n v="23076.2"/>
    <x v="2"/>
    <n v="15000"/>
    <n v="2307.6200000000003"/>
    <n v="8076.2000000000007"/>
  </r>
  <r>
    <x v="12"/>
    <x v="2"/>
    <s v="David"/>
    <s v="Wilkinson"/>
    <x v="0"/>
    <n v="24131"/>
    <x v="0"/>
    <n v="15000"/>
    <n v="2413.1"/>
    <n v="9131"/>
  </r>
  <r>
    <x v="12"/>
    <x v="19"/>
    <s v="Sarah"/>
    <s v="Gibbs"/>
    <x v="0"/>
    <n v="24469.599999999999"/>
    <x v="0"/>
    <n v="15000"/>
    <n v="2446.96"/>
    <n v="9469.5999999999985"/>
  </r>
  <r>
    <x v="12"/>
    <x v="0"/>
    <s v="Chloe"/>
    <s v="Fusaro"/>
    <x v="0"/>
    <n v="25518.799999999999"/>
    <x v="2"/>
    <n v="15000"/>
    <n v="2551.88"/>
    <n v="10518.8"/>
  </r>
  <r>
    <x v="12"/>
    <x v="0"/>
    <s v="Chloe"/>
    <s v="Fusaro"/>
    <x v="0"/>
    <n v="25560"/>
    <x v="2"/>
    <n v="15000"/>
    <n v="2556"/>
    <n v="10560"/>
  </r>
  <r>
    <x v="12"/>
    <x v="8"/>
    <s v="Cory"/>
    <s v="Goodwin"/>
    <x v="1"/>
    <n v="21438.9"/>
    <x v="2"/>
    <n v="15000"/>
    <n v="2143.8900000000003"/>
    <n v="6438.9000000000015"/>
  </r>
  <r>
    <x v="12"/>
    <x v="7"/>
    <s v="Jason"/>
    <s v="Jackaki"/>
    <x v="1"/>
    <n v="21878.5"/>
    <x v="2"/>
    <n v="15000"/>
    <n v="2187.85"/>
    <n v="6878.5"/>
  </r>
  <r>
    <x v="12"/>
    <x v="8"/>
    <s v="Cory"/>
    <s v="Goodwin"/>
    <x v="1"/>
    <n v="22136.799999999999"/>
    <x v="2"/>
    <n v="15000"/>
    <n v="2213.6799999999998"/>
    <n v="7136.7999999999993"/>
  </r>
  <r>
    <x v="12"/>
    <x v="8"/>
    <s v="Cory"/>
    <s v="Goodwin"/>
    <x v="1"/>
    <n v="22900.5"/>
    <x v="2"/>
    <n v="15000"/>
    <n v="2290.0500000000002"/>
    <n v="7900.5"/>
  </r>
  <r>
    <x v="12"/>
    <x v="6"/>
    <s v="Emily"/>
    <s v="Whelan"/>
    <x v="1"/>
    <n v="23014.400000000001"/>
    <x v="2"/>
    <n v="15000"/>
    <n v="2301.44"/>
    <n v="8014.4000000000015"/>
  </r>
  <r>
    <x v="13"/>
    <x v="19"/>
    <s v="Sarah"/>
    <s v="Gibbs"/>
    <x v="0"/>
    <n v="26773.4"/>
    <x v="1"/>
    <n v="15000"/>
    <n v="2677.34"/>
    <n v="11773.400000000001"/>
  </r>
  <r>
    <x v="13"/>
    <x v="0"/>
    <s v="Chloe"/>
    <s v="Fusaro"/>
    <x v="0"/>
    <n v="27676.6"/>
    <x v="0"/>
    <n v="15000"/>
    <n v="2767.66"/>
    <n v="12676.599999999999"/>
  </r>
  <r>
    <x v="13"/>
    <x v="0"/>
    <s v="Chloe"/>
    <s v="Fusaro"/>
    <x v="0"/>
    <n v="27930"/>
    <x v="0"/>
    <n v="15000"/>
    <n v="2793"/>
    <n v="12930"/>
  </r>
  <r>
    <x v="13"/>
    <x v="3"/>
    <s v="Charlotte"/>
    <s v="Edwards"/>
    <x v="0"/>
    <n v="28395"/>
    <x v="1"/>
    <n v="15000"/>
    <n v="2839.5"/>
    <n v="13395"/>
  </r>
  <r>
    <x v="13"/>
    <x v="1"/>
    <s v="Jonah"/>
    <s v="Seitz"/>
    <x v="0"/>
    <n v="28464.9"/>
    <x v="1"/>
    <n v="15000"/>
    <n v="2846.4900000000002"/>
    <n v="13464.900000000001"/>
  </r>
  <r>
    <x v="13"/>
    <x v="2"/>
    <s v="David"/>
    <s v="Wilkinson"/>
    <x v="0"/>
    <n v="28761.599999999999"/>
    <x v="1"/>
    <n v="15000"/>
    <n v="2876.16"/>
    <n v="13761.599999999999"/>
  </r>
  <r>
    <x v="13"/>
    <x v="19"/>
    <s v="Sarah"/>
    <s v="Gibbs"/>
    <x v="0"/>
    <n v="31053.4"/>
    <x v="2"/>
    <n v="15000"/>
    <n v="3105.34"/>
    <n v="16053.400000000001"/>
  </r>
  <r>
    <x v="13"/>
    <x v="3"/>
    <s v="Charlotte"/>
    <s v="Edwards"/>
    <x v="0"/>
    <n v="31186.6"/>
    <x v="2"/>
    <n v="15000"/>
    <n v="3118.66"/>
    <n v="16186.599999999999"/>
  </r>
  <r>
    <x v="13"/>
    <x v="0"/>
    <s v="Chloe"/>
    <s v="Fusaro"/>
    <x v="0"/>
    <n v="31999.200000000001"/>
    <x v="0"/>
    <n v="15000"/>
    <n v="3199.92"/>
    <n v="16999.2"/>
  </r>
  <r>
    <x v="13"/>
    <x v="0"/>
    <s v="Chloe"/>
    <s v="Fusaro"/>
    <x v="0"/>
    <n v="32282.799999999999"/>
    <x v="0"/>
    <n v="15000"/>
    <n v="3228.28"/>
    <n v="17282.8"/>
  </r>
  <r>
    <x v="13"/>
    <x v="19"/>
    <s v="Sarah"/>
    <s v="Gibbs"/>
    <x v="0"/>
    <n v="32524.1"/>
    <x v="2"/>
    <n v="15000"/>
    <n v="3252.41"/>
    <n v="17524.099999999999"/>
  </r>
  <r>
    <x v="13"/>
    <x v="8"/>
    <s v="Cory"/>
    <s v="Goodwin"/>
    <x v="1"/>
    <n v="23058"/>
    <x v="1"/>
    <n v="15000"/>
    <n v="2305.8000000000002"/>
    <n v="8058"/>
  </r>
  <r>
    <x v="13"/>
    <x v="8"/>
    <s v="Cory"/>
    <s v="Goodwin"/>
    <x v="1"/>
    <n v="23240.400000000001"/>
    <x v="0"/>
    <n v="15000"/>
    <n v="2324.0400000000004"/>
    <n v="8240.4000000000015"/>
  </r>
  <r>
    <x v="13"/>
    <x v="5"/>
    <s v="Annabel"/>
    <s v="Mettick"/>
    <x v="1"/>
    <n v="23997.599999999999"/>
    <x v="2"/>
    <n v="15000"/>
    <n v="2399.7599999999998"/>
    <n v="8997.5999999999985"/>
  </r>
  <r>
    <x v="13"/>
    <x v="4"/>
    <s v="Olivia"/>
    <s v="Cheung"/>
    <x v="1"/>
    <n v="24080"/>
    <x v="2"/>
    <n v="15000"/>
    <n v="2408"/>
    <n v="9080"/>
  </r>
  <r>
    <x v="13"/>
    <x v="6"/>
    <s v="Emily"/>
    <s v="Whelan"/>
    <x v="1"/>
    <n v="24236"/>
    <x v="2"/>
    <n v="15000"/>
    <n v="2423.6"/>
    <n v="9236"/>
  </r>
  <r>
    <x v="13"/>
    <x v="5"/>
    <s v="Annabel"/>
    <s v="Mettick"/>
    <x v="1"/>
    <n v="24544"/>
    <x v="0"/>
    <n v="15000"/>
    <n v="2454.4"/>
    <n v="9544"/>
  </r>
  <r>
    <x v="13"/>
    <x v="8"/>
    <s v="Cory"/>
    <s v="Goodwin"/>
    <x v="1"/>
    <n v="24579.8"/>
    <x v="2"/>
    <n v="15000"/>
    <n v="2457.98"/>
    <n v="9579.7999999999993"/>
  </r>
  <r>
    <x v="13"/>
    <x v="6"/>
    <s v="Emily"/>
    <s v="Whelan"/>
    <x v="1"/>
    <n v="25560"/>
    <x v="2"/>
    <n v="15000"/>
    <n v="2556"/>
    <n v="10560"/>
  </r>
  <r>
    <x v="13"/>
    <x v="8"/>
    <s v="Cory"/>
    <s v="Goodwin"/>
    <x v="1"/>
    <n v="25946.3"/>
    <x v="1"/>
    <n v="15000"/>
    <n v="2594.63"/>
    <n v="10946.3"/>
  </r>
  <r>
    <x v="13"/>
    <x v="4"/>
    <s v="Olivia"/>
    <s v="Cheung"/>
    <x v="1"/>
    <n v="26200"/>
    <x v="0"/>
    <n v="15000"/>
    <n v="2620"/>
    <n v="11200"/>
  </r>
  <r>
    <x v="13"/>
    <x v="7"/>
    <s v="Jason"/>
    <s v="Jackaki"/>
    <x v="1"/>
    <n v="26556.799999999999"/>
    <x v="0"/>
    <n v="15000"/>
    <n v="2655.6800000000003"/>
    <n v="11556.8"/>
  </r>
  <r>
    <x v="13"/>
    <x v="4"/>
    <s v="Olivia"/>
    <s v="Cheung"/>
    <x v="1"/>
    <n v="27350.400000000001"/>
    <x v="1"/>
    <n v="15000"/>
    <n v="2735.0400000000004"/>
    <n v="12350.400000000001"/>
  </r>
  <r>
    <x v="13"/>
    <x v="6"/>
    <s v="Emily"/>
    <s v="Whelan"/>
    <x v="1"/>
    <n v="27531"/>
    <x v="1"/>
    <n v="15000"/>
    <n v="2753.1000000000004"/>
    <n v="12531"/>
  </r>
  <r>
    <x v="13"/>
    <x v="7"/>
    <s v="Jason"/>
    <s v="Jackaki"/>
    <x v="1"/>
    <n v="28286.400000000001"/>
    <x v="2"/>
    <n v="15000"/>
    <n v="2828.6400000000003"/>
    <n v="13286.400000000001"/>
  </r>
  <r>
    <x v="13"/>
    <x v="6"/>
    <s v="Emily"/>
    <s v="Whelan"/>
    <x v="1"/>
    <n v="28616"/>
    <x v="1"/>
    <n v="15000"/>
    <n v="2861.6000000000004"/>
    <n v="13616"/>
  </r>
  <r>
    <x v="13"/>
    <x v="9"/>
    <s v="Ashley"/>
    <s v="Almanza"/>
    <x v="2"/>
    <n v="26546.6"/>
    <x v="0"/>
    <n v="15000"/>
    <n v="2654.66"/>
    <n v="11546.599999999999"/>
  </r>
  <r>
    <x v="13"/>
    <x v="17"/>
    <s v="Bryan"/>
    <s v="Maldonado"/>
    <x v="2"/>
    <n v="27930"/>
    <x v="2"/>
    <n v="15000"/>
    <n v="2793"/>
    <n v="12930"/>
  </r>
  <r>
    <x v="13"/>
    <x v="11"/>
    <s v="Reza"/>
    <s v="Jafari"/>
    <x v="2"/>
    <n v="29158.400000000001"/>
    <x v="0"/>
    <n v="15000"/>
    <n v="2915.84"/>
    <n v="14158.400000000001"/>
  </r>
  <r>
    <x v="13"/>
    <x v="10"/>
    <s v="Derek"/>
    <s v="Godwin"/>
    <x v="2"/>
    <n v="30305"/>
    <x v="2"/>
    <n v="15000"/>
    <n v="3030.5"/>
    <n v="15305"/>
  </r>
  <r>
    <x v="13"/>
    <x v="12"/>
    <s v="Gordon"/>
    <s v="Beswick"/>
    <x v="2"/>
    <n v="30776.799999999999"/>
    <x v="2"/>
    <n v="15000"/>
    <n v="3077.6800000000003"/>
    <n v="15776.8"/>
  </r>
  <r>
    <x v="13"/>
    <x v="9"/>
    <s v="Ashley"/>
    <s v="Almanza"/>
    <x v="2"/>
    <n v="31200"/>
    <x v="0"/>
    <n v="15000"/>
    <n v="3120"/>
    <n v="16200"/>
  </r>
  <r>
    <x v="13"/>
    <x v="12"/>
    <s v="Gordon"/>
    <s v="Beswick"/>
    <x v="2"/>
    <n v="31970.799999999999"/>
    <x v="2"/>
    <n v="15000"/>
    <n v="3197.08"/>
    <n v="16970.8"/>
  </r>
  <r>
    <x v="13"/>
    <x v="14"/>
    <s v="Josh"/>
    <s v="Sutherland"/>
    <x v="3"/>
    <n v="22477.9"/>
    <x v="0"/>
    <n v="15000"/>
    <n v="2247.7900000000004"/>
    <n v="7477.9000000000015"/>
  </r>
  <r>
    <x v="13"/>
    <x v="16"/>
    <s v="Tia"/>
    <s v="Cruise"/>
    <x v="3"/>
    <n v="23364"/>
    <x v="0"/>
    <n v="15000"/>
    <n v="2336.4"/>
    <n v="8364"/>
  </r>
  <r>
    <x v="13"/>
    <x v="14"/>
    <s v="Josh"/>
    <s v="Sutherland"/>
    <x v="3"/>
    <n v="23997.599999999999"/>
    <x v="2"/>
    <n v="15000"/>
    <n v="2399.7599999999998"/>
    <n v="8997.5999999999985"/>
  </r>
  <r>
    <x v="13"/>
    <x v="15"/>
    <s v="Ally"/>
    <s v="Bryant"/>
    <x v="3"/>
    <n v="24395.1"/>
    <x v="2"/>
    <n v="15000"/>
    <n v="2439.5099999999998"/>
    <n v="9395.0999999999985"/>
  </r>
  <r>
    <x v="13"/>
    <x v="16"/>
    <s v="Tia"/>
    <s v="Cruise"/>
    <x v="3"/>
    <n v="25102.400000000001"/>
    <x v="0"/>
    <n v="15000"/>
    <n v="2510.2400000000002"/>
    <n v="10102.400000000001"/>
  </r>
  <r>
    <x v="14"/>
    <x v="4"/>
    <s v="Olivia"/>
    <s v="Cheung"/>
    <x v="1"/>
    <n v="28628.799999999999"/>
    <x v="1"/>
    <n v="15000"/>
    <n v="2862.88"/>
    <n v="13628.8"/>
  </r>
  <r>
    <x v="14"/>
    <x v="6"/>
    <s v="Emily"/>
    <s v="Whelan"/>
    <x v="1"/>
    <n v="28845"/>
    <x v="0"/>
    <n v="15000"/>
    <n v="2884.5"/>
    <n v="13845"/>
  </r>
  <r>
    <x v="14"/>
    <x v="4"/>
    <s v="Olivia"/>
    <s v="Cheung"/>
    <x v="1"/>
    <n v="30368"/>
    <x v="0"/>
    <n v="15000"/>
    <n v="3036.8"/>
    <n v="15368"/>
  </r>
  <r>
    <x v="14"/>
    <x v="5"/>
    <s v="Annabel"/>
    <s v="Mettick"/>
    <x v="1"/>
    <n v="30377.4"/>
    <x v="1"/>
    <n v="15000"/>
    <n v="3037.7400000000002"/>
    <n v="15377.400000000001"/>
  </r>
  <r>
    <x v="14"/>
    <x v="13"/>
    <s v="spencer "/>
    <s v="Cruz"/>
    <x v="3"/>
    <n v="26866"/>
    <x v="1"/>
    <n v="15000"/>
    <n v="2686.6000000000004"/>
    <n v="11866"/>
  </r>
  <r>
    <x v="14"/>
    <x v="16"/>
    <s v="Tia"/>
    <s v="Cruise"/>
    <x v="3"/>
    <n v="27670.9"/>
    <x v="1"/>
    <n v="15000"/>
    <n v="2767.09"/>
    <n v="12670.900000000001"/>
  </r>
  <r>
    <x v="14"/>
    <x v="13"/>
    <s v="spencer "/>
    <s v="Cruz"/>
    <x v="3"/>
    <n v="27916.400000000001"/>
    <x v="1"/>
    <n v="15000"/>
    <n v="2791.6400000000003"/>
    <n v="12916.400000000001"/>
  </r>
  <r>
    <x v="14"/>
    <x v="16"/>
    <s v="Tia"/>
    <s v="Cruise"/>
    <x v="3"/>
    <n v="27956.799999999999"/>
    <x v="0"/>
    <n v="15000"/>
    <n v="2795.6800000000003"/>
    <n v="12956.8"/>
  </r>
  <r>
    <x v="15"/>
    <x v="0"/>
    <s v="Chloe"/>
    <s v="Fusaro"/>
    <x v="0"/>
    <n v="34353.5"/>
    <x v="0"/>
    <n v="15000"/>
    <n v="3435.3500000000004"/>
    <n v="19353.5"/>
  </r>
  <r>
    <x v="15"/>
    <x v="0"/>
    <s v="Chloe"/>
    <s v="Fusaro"/>
    <x v="0"/>
    <n v="35153.800000000003"/>
    <x v="2"/>
    <n v="15000"/>
    <n v="3515.3800000000006"/>
    <n v="20153.800000000003"/>
  </r>
  <r>
    <x v="15"/>
    <x v="0"/>
    <s v="Chloe"/>
    <s v="Fusaro"/>
    <x v="0"/>
    <n v="35820"/>
    <x v="1"/>
    <n v="15000"/>
    <n v="3582"/>
    <n v="20820"/>
  </r>
  <r>
    <x v="15"/>
    <x v="3"/>
    <s v="Charlotte"/>
    <s v="Edwards"/>
    <x v="0"/>
    <n v="37520"/>
    <x v="0"/>
    <n v="15000"/>
    <n v="3752"/>
    <n v="22520"/>
  </r>
  <r>
    <x v="15"/>
    <x v="3"/>
    <s v="Charlotte"/>
    <s v="Edwards"/>
    <x v="0"/>
    <n v="37544.800000000003"/>
    <x v="2"/>
    <n v="15000"/>
    <n v="3754.4800000000005"/>
    <n v="22544.800000000003"/>
  </r>
  <r>
    <x v="15"/>
    <x v="8"/>
    <s v="Cory"/>
    <s v="Goodwin"/>
    <x v="1"/>
    <n v="32795.699999999997"/>
    <x v="0"/>
    <n v="15000"/>
    <n v="3279.5699999999997"/>
    <n v="17795.699999999997"/>
  </r>
  <r>
    <x v="15"/>
    <x v="7"/>
    <s v="Jason"/>
    <s v="Jackaki"/>
    <x v="1"/>
    <n v="33132.6"/>
    <x v="1"/>
    <n v="15000"/>
    <n v="3313.26"/>
    <n v="18132.599999999999"/>
  </r>
  <r>
    <x v="15"/>
    <x v="6"/>
    <s v="Emily"/>
    <s v="Whelan"/>
    <x v="1"/>
    <n v="35351"/>
    <x v="0"/>
    <n v="15000"/>
    <n v="3535.1000000000004"/>
    <n v="20351"/>
  </r>
  <r>
    <x v="15"/>
    <x v="6"/>
    <s v="Emily"/>
    <s v="Whelan"/>
    <x v="1"/>
    <n v="35640"/>
    <x v="2"/>
    <n v="15000"/>
    <n v="3564"/>
    <n v="20640"/>
  </r>
  <r>
    <x v="15"/>
    <x v="5"/>
    <s v="Annabel"/>
    <s v="Mettick"/>
    <x v="1"/>
    <n v="35695"/>
    <x v="0"/>
    <n v="15000"/>
    <n v="3569.5"/>
    <n v="20695"/>
  </r>
  <r>
    <x v="15"/>
    <x v="4"/>
    <s v="Olivia"/>
    <s v="Cheung"/>
    <x v="1"/>
    <n v="35715.4"/>
    <x v="0"/>
    <n v="15000"/>
    <n v="3571.5400000000004"/>
    <n v="20715.400000000001"/>
  </r>
  <r>
    <x v="15"/>
    <x v="5"/>
    <s v="Annabel"/>
    <s v="Mettick"/>
    <x v="1"/>
    <n v="35715.4"/>
    <x v="1"/>
    <n v="15000"/>
    <n v="3571.5400000000004"/>
    <n v="20715.400000000001"/>
  </r>
  <r>
    <x v="15"/>
    <x v="5"/>
    <s v="Annabel"/>
    <s v="Mettick"/>
    <x v="1"/>
    <n v="37560"/>
    <x v="1"/>
    <n v="15000"/>
    <n v="3756"/>
    <n v="22560"/>
  </r>
  <r>
    <x v="15"/>
    <x v="7"/>
    <s v="Jason"/>
    <s v="Jackaki"/>
    <x v="1"/>
    <n v="38570"/>
    <x v="2"/>
    <n v="15000"/>
    <n v="3857"/>
    <n v="23570"/>
  </r>
  <r>
    <x v="15"/>
    <x v="4"/>
    <s v="Olivia"/>
    <s v="Cheung"/>
    <x v="1"/>
    <n v="39199.599999999999"/>
    <x v="1"/>
    <n v="15000"/>
    <n v="3919.96"/>
    <n v="24199.599999999999"/>
  </r>
  <r>
    <x v="15"/>
    <x v="17"/>
    <s v="Bryan"/>
    <s v="Maldonado"/>
    <x v="2"/>
    <n v="33694.800000000003"/>
    <x v="0"/>
    <n v="15000"/>
    <n v="3369.4800000000005"/>
    <n v="18694.800000000003"/>
  </r>
  <r>
    <x v="15"/>
    <x v="10"/>
    <s v="Derek"/>
    <s v="Godwin"/>
    <x v="2"/>
    <n v="34041.300000000003"/>
    <x v="1"/>
    <n v="15000"/>
    <n v="3404.1300000000006"/>
    <n v="19041.300000000003"/>
  </r>
  <r>
    <x v="15"/>
    <x v="11"/>
    <s v="Reza"/>
    <s v="Jafari"/>
    <x v="2"/>
    <n v="34162"/>
    <x v="0"/>
    <n v="15000"/>
    <n v="3416.2000000000003"/>
    <n v="19162"/>
  </r>
  <r>
    <x v="15"/>
    <x v="10"/>
    <s v="Derek"/>
    <s v="Godwin"/>
    <x v="2"/>
    <n v="35649"/>
    <x v="2"/>
    <n v="15000"/>
    <n v="3564.9"/>
    <n v="20649"/>
  </r>
  <r>
    <x v="15"/>
    <x v="12"/>
    <s v="Gordon"/>
    <s v="Beswick"/>
    <x v="2"/>
    <n v="36666"/>
    <x v="0"/>
    <n v="15000"/>
    <n v="3666.6000000000004"/>
    <n v="21666"/>
  </r>
  <r>
    <x v="15"/>
    <x v="11"/>
    <s v="Reza"/>
    <s v="Jafari"/>
    <x v="2"/>
    <n v="37374.400000000001"/>
    <x v="1"/>
    <n v="15000"/>
    <n v="3737.4400000000005"/>
    <n v="22374.400000000001"/>
  </r>
  <r>
    <x v="15"/>
    <x v="11"/>
    <s v="Reza"/>
    <s v="Jafari"/>
    <x v="2"/>
    <n v="38227.699999999997"/>
    <x v="2"/>
    <n v="15000"/>
    <n v="3822.77"/>
    <n v="23227.699999999997"/>
  </r>
  <r>
    <x v="15"/>
    <x v="9"/>
    <s v="Ashley"/>
    <s v="Almanza"/>
    <x v="2"/>
    <n v="39065.9"/>
    <x v="0"/>
    <n v="15000"/>
    <n v="3906.59"/>
    <n v="24065.9"/>
  </r>
  <r>
    <x v="15"/>
    <x v="10"/>
    <s v="Derek"/>
    <s v="Godwin"/>
    <x v="2"/>
    <n v="39236"/>
    <x v="1"/>
    <n v="15000"/>
    <n v="3923.6000000000004"/>
    <n v="24236"/>
  </r>
  <r>
    <x v="15"/>
    <x v="18"/>
    <s v="Nina"/>
    <s v="McDonald"/>
    <x v="3"/>
    <n v="28395.5"/>
    <x v="1"/>
    <n v="15000"/>
    <n v="2839.55"/>
    <n v="13395.5"/>
  </r>
  <r>
    <x v="15"/>
    <x v="13"/>
    <s v="spencer "/>
    <s v="Cruz"/>
    <x v="3"/>
    <n v="31127.200000000001"/>
    <x v="1"/>
    <n v="15000"/>
    <n v="3112.7200000000003"/>
    <n v="16127.2"/>
  </r>
  <r>
    <x v="15"/>
    <x v="15"/>
    <s v="Ally"/>
    <s v="Bryant"/>
    <x v="3"/>
    <n v="31407"/>
    <x v="0"/>
    <n v="15000"/>
    <n v="3140.7000000000003"/>
    <n v="16407"/>
  </r>
  <r>
    <x v="15"/>
    <x v="14"/>
    <s v="Josh"/>
    <s v="Sutherland"/>
    <x v="3"/>
    <n v="35647.5"/>
    <x v="1"/>
    <n v="15000"/>
    <n v="3564.75"/>
    <n v="20647.5"/>
  </r>
  <r>
    <x v="15"/>
    <x v="14"/>
    <s v="Josh"/>
    <s v="Sutherland"/>
    <x v="3"/>
    <n v="36088.1"/>
    <x v="1"/>
    <n v="15000"/>
    <n v="3608.81"/>
    <n v="21088.1"/>
  </r>
  <r>
    <x v="15"/>
    <x v="13"/>
    <s v="spencer "/>
    <s v="Cruz"/>
    <x v="3"/>
    <n v="36372.1"/>
    <x v="2"/>
    <n v="15000"/>
    <n v="3637.21"/>
    <n v="21372.1"/>
  </r>
  <r>
    <x v="15"/>
    <x v="14"/>
    <s v="Josh"/>
    <s v="Sutherland"/>
    <x v="3"/>
    <n v="36530.199999999997"/>
    <x v="0"/>
    <n v="15000"/>
    <n v="3653.02"/>
    <n v="21530.199999999997"/>
  </r>
  <r>
    <x v="15"/>
    <x v="13"/>
    <s v="spencer "/>
    <s v="Cruz"/>
    <x v="3"/>
    <n v="36896.199999999997"/>
    <x v="1"/>
    <n v="15000"/>
    <n v="3689.62"/>
    <n v="21896.199999999997"/>
  </r>
  <r>
    <x v="15"/>
    <x v="14"/>
    <s v="Josh"/>
    <s v="Sutherland"/>
    <x v="3"/>
    <n v="36907.199999999997"/>
    <x v="0"/>
    <n v="15000"/>
    <n v="3690.72"/>
    <n v="21907.199999999997"/>
  </r>
  <r>
    <x v="15"/>
    <x v="13"/>
    <s v="spencer "/>
    <s v="Cruz"/>
    <x v="3"/>
    <n v="37192.5"/>
    <x v="1"/>
    <n v="15000"/>
    <n v="3719.25"/>
    <n v="22192.5"/>
  </r>
  <r>
    <x v="15"/>
    <x v="15"/>
    <s v="Ally"/>
    <s v="Bryant"/>
    <x v="3"/>
    <n v="39186"/>
    <x v="0"/>
    <n v="15000"/>
    <n v="3918.6000000000004"/>
    <n v="24186"/>
  </r>
  <r>
    <x v="16"/>
    <x v="9"/>
    <s v="Ashley"/>
    <s v="Almanza"/>
    <x v="2"/>
    <n v="41520"/>
    <x v="2"/>
    <n v="15000"/>
    <n v="4152"/>
    <n v="26520"/>
  </r>
  <r>
    <x v="16"/>
    <x v="11"/>
    <s v="Reza"/>
    <s v="Jafari"/>
    <x v="2"/>
    <n v="43088.2"/>
    <x v="2"/>
    <n v="15000"/>
    <n v="4308.82"/>
    <n v="28088.199999999997"/>
  </r>
  <r>
    <x v="16"/>
    <x v="12"/>
    <s v="Gordon"/>
    <s v="Beswick"/>
    <x v="2"/>
    <n v="43184.4"/>
    <x v="1"/>
    <n v="15000"/>
    <n v="4318.4400000000005"/>
    <n v="28184.400000000001"/>
  </r>
  <r>
    <x v="17"/>
    <x v="1"/>
    <s v="Jonah"/>
    <s v="Seitz"/>
    <x v="0"/>
    <n v="40224.800000000003"/>
    <x v="2"/>
    <n v="15000"/>
    <n v="4022.4800000000005"/>
    <n v="25224.800000000003"/>
  </r>
  <r>
    <x v="17"/>
    <x v="1"/>
    <s v="Jonah"/>
    <s v="Seitz"/>
    <x v="0"/>
    <n v="40831"/>
    <x v="2"/>
    <n v="15000"/>
    <n v="4083.1000000000004"/>
    <n v="25831"/>
  </r>
  <r>
    <x v="17"/>
    <x v="3"/>
    <s v="Charlotte"/>
    <s v="Edwards"/>
    <x v="0"/>
    <n v="41215.300000000003"/>
    <x v="1"/>
    <n v="15000"/>
    <n v="4121.5300000000007"/>
    <n v="26215.300000000003"/>
  </r>
  <r>
    <x v="17"/>
    <x v="19"/>
    <s v="Sarah"/>
    <s v="Gibbs"/>
    <x v="0"/>
    <n v="41826.400000000001"/>
    <x v="1"/>
    <n v="15000"/>
    <n v="4182.6400000000003"/>
    <n v="26826.400000000001"/>
  </r>
  <r>
    <x v="17"/>
    <x v="1"/>
    <s v="Jonah"/>
    <s v="Seitz"/>
    <x v="0"/>
    <n v="41932.800000000003"/>
    <x v="2"/>
    <n v="15000"/>
    <n v="4193.2800000000007"/>
    <n v="26932.800000000003"/>
  </r>
  <r>
    <x v="17"/>
    <x v="0"/>
    <s v="Chloe"/>
    <s v="Fusaro"/>
    <x v="0"/>
    <n v="42427"/>
    <x v="0"/>
    <n v="15000"/>
    <n v="4242.7"/>
    <n v="27427"/>
  </r>
  <r>
    <x v="17"/>
    <x v="2"/>
    <s v="David"/>
    <s v="Wilkinson"/>
    <x v="0"/>
    <n v="42690.400000000001"/>
    <x v="1"/>
    <n v="15000"/>
    <n v="4269.04"/>
    <n v="27690.400000000001"/>
  </r>
  <r>
    <x v="17"/>
    <x v="2"/>
    <s v="David"/>
    <s v="Wilkinson"/>
    <x v="0"/>
    <n v="43591.8"/>
    <x v="2"/>
    <n v="15000"/>
    <n v="4359.18"/>
    <n v="28591.800000000003"/>
  </r>
  <r>
    <x v="17"/>
    <x v="1"/>
    <s v="Jonah"/>
    <s v="Seitz"/>
    <x v="0"/>
    <n v="43974"/>
    <x v="2"/>
    <n v="15000"/>
    <n v="4397.4000000000005"/>
    <n v="28974"/>
  </r>
  <r>
    <x v="17"/>
    <x v="19"/>
    <s v="Sarah"/>
    <s v="Gibbs"/>
    <x v="0"/>
    <n v="47510.400000000001"/>
    <x v="0"/>
    <n v="15000"/>
    <n v="4751.04"/>
    <n v="32510.400000000001"/>
  </r>
  <r>
    <x v="17"/>
    <x v="19"/>
    <s v="Sarah"/>
    <s v="Gibbs"/>
    <x v="0"/>
    <n v="49056"/>
    <x v="2"/>
    <n v="15000"/>
    <n v="4905.6000000000004"/>
    <n v="34056"/>
  </r>
  <r>
    <x v="17"/>
    <x v="7"/>
    <s v="Jason"/>
    <s v="Jackaki"/>
    <x v="1"/>
    <n v="41989.599999999999"/>
    <x v="2"/>
    <n v="15000"/>
    <n v="4198.96"/>
    <n v="26989.599999999999"/>
  </r>
  <r>
    <x v="17"/>
    <x v="4"/>
    <s v="Olivia"/>
    <s v="Cheung"/>
    <x v="1"/>
    <n v="43593.599999999999"/>
    <x v="0"/>
    <n v="15000"/>
    <n v="4359.3599999999997"/>
    <n v="28593.599999999999"/>
  </r>
  <r>
    <x v="17"/>
    <x v="12"/>
    <s v="Gordon"/>
    <s v="Beswick"/>
    <x v="2"/>
    <n v="44422"/>
    <x v="1"/>
    <n v="15000"/>
    <n v="4442.2"/>
    <n v="29422"/>
  </r>
  <r>
    <x v="17"/>
    <x v="9"/>
    <s v="Ashley"/>
    <s v="Almanza"/>
    <x v="2"/>
    <n v="45801"/>
    <x v="0"/>
    <n v="15000"/>
    <n v="4580.1000000000004"/>
    <n v="30801"/>
  </r>
  <r>
    <x v="17"/>
    <x v="11"/>
    <s v="Reza"/>
    <s v="Jafari"/>
    <x v="2"/>
    <n v="51531.199999999997"/>
    <x v="1"/>
    <n v="15000"/>
    <n v="5153.12"/>
    <n v="36531.199999999997"/>
  </r>
  <r>
    <x v="17"/>
    <x v="16"/>
    <s v="Tia"/>
    <s v="Cruise"/>
    <x v="3"/>
    <n v="39653.9"/>
    <x v="1"/>
    <n v="15000"/>
    <n v="3965.3900000000003"/>
    <n v="24653.9"/>
  </r>
  <r>
    <x v="17"/>
    <x v="18"/>
    <s v="Nina"/>
    <s v="McDonald"/>
    <x v="3"/>
    <n v="41420.699999999997"/>
    <x v="2"/>
    <n v="15000"/>
    <n v="4142.07"/>
    <n v="26420.699999999997"/>
  </r>
  <r>
    <x v="17"/>
    <x v="15"/>
    <s v="Ally"/>
    <s v="Bryant"/>
    <x v="3"/>
    <n v="41429.5"/>
    <x v="0"/>
    <n v="15000"/>
    <n v="4142.95"/>
    <n v="26429.5"/>
  </r>
  <r>
    <x v="17"/>
    <x v="13"/>
    <s v="spencer "/>
    <s v="Cruz"/>
    <x v="3"/>
    <n v="42249.1"/>
    <x v="0"/>
    <n v="15000"/>
    <n v="4224.91"/>
    <n v="27249.1"/>
  </r>
  <r>
    <x v="17"/>
    <x v="18"/>
    <s v="Nina"/>
    <s v="McDonald"/>
    <x v="3"/>
    <n v="43388.1"/>
    <x v="0"/>
    <n v="15000"/>
    <n v="4338.8100000000004"/>
    <n v="28388.1"/>
  </r>
  <r>
    <x v="17"/>
    <x v="13"/>
    <s v="spencer "/>
    <s v="Cruz"/>
    <x v="3"/>
    <n v="46716"/>
    <x v="2"/>
    <n v="15000"/>
    <n v="4671.6000000000004"/>
    <n v="31716"/>
  </r>
  <r>
    <x v="17"/>
    <x v="18"/>
    <s v="Nina"/>
    <s v="McDonald"/>
    <x v="3"/>
    <n v="1171.6500000000001"/>
    <x v="2"/>
    <n v="15000"/>
    <n v="0"/>
    <n v="-13828.35"/>
  </r>
  <r>
    <x v="17"/>
    <x v="14"/>
    <s v="Josh"/>
    <s v="Sutherland"/>
    <x v="3"/>
    <n v="1696.8"/>
    <x v="1"/>
    <n v="15000"/>
    <n v="0"/>
    <n v="-13303.2"/>
  </r>
  <r>
    <x v="17"/>
    <x v="14"/>
    <s v="Josh"/>
    <s v="Sutherland"/>
    <x v="3"/>
    <n v="569.64"/>
    <x v="2"/>
    <n v="15000"/>
    <n v="0"/>
    <n v="-14430.36"/>
  </r>
  <r>
    <x v="17"/>
    <x v="14"/>
    <s v="Josh"/>
    <s v="Sutherland"/>
    <x v="3"/>
    <n v="1818.84"/>
    <x v="0"/>
    <n v="15000"/>
    <n v="0"/>
    <n v="-13181.16"/>
  </r>
  <r>
    <x v="17"/>
    <x v="15"/>
    <s v="Ally"/>
    <s v="Bryant"/>
    <x v="3"/>
    <n v="1799.35"/>
    <x v="2"/>
    <n v="15000"/>
    <n v="0"/>
    <n v="-13200.65"/>
  </r>
  <r>
    <x v="17"/>
    <x v="18"/>
    <s v="Nina"/>
    <s v="McDonald"/>
    <x v="3"/>
    <n v="1649.94"/>
    <x v="0"/>
    <n v="15000"/>
    <n v="0"/>
    <n v="-13350.06"/>
  </r>
  <r>
    <x v="17"/>
    <x v="13"/>
    <s v="spencer"/>
    <s v="Cruz"/>
    <x v="3"/>
    <n v="1441.6"/>
    <x v="1"/>
    <n v="15000"/>
    <n v="0"/>
    <n v="-13558.4"/>
  </r>
  <r>
    <x v="17"/>
    <x v="15"/>
    <s v="Ally"/>
    <s v="Bryant"/>
    <x v="3"/>
    <n v="376.05"/>
    <x v="2"/>
    <n v="15000"/>
    <n v="0"/>
    <n v="-14623.95"/>
  </r>
  <r>
    <x v="17"/>
    <x v="14"/>
    <s v="Josh"/>
    <s v="Sutherland"/>
    <x v="3"/>
    <n v="3608.81"/>
    <x v="1"/>
    <n v="15000"/>
    <n v="0"/>
    <n v="-11391.19"/>
  </r>
  <r>
    <x v="17"/>
    <x v="15"/>
    <s v="Ally"/>
    <s v="Bryant"/>
    <x v="3"/>
    <n v="969.76"/>
    <x v="0"/>
    <n v="15000"/>
    <n v="0"/>
    <n v="-14030.24"/>
  </r>
  <r>
    <x v="17"/>
    <x v="14"/>
    <s v="Josh"/>
    <s v="Sutherland"/>
    <x v="3"/>
    <n v="2247.79"/>
    <x v="0"/>
    <n v="15000"/>
    <n v="0"/>
    <n v="-12752.21"/>
  </r>
  <r>
    <x v="17"/>
    <x v="15"/>
    <s v="Ally"/>
    <s v="Bryant"/>
    <x v="3"/>
    <n v="432.28"/>
    <x v="1"/>
    <n v="15000"/>
    <n v="0"/>
    <n v="-14567.72"/>
  </r>
  <r>
    <x v="17"/>
    <x v="18"/>
    <s v="Nina"/>
    <s v="McDonald"/>
    <x v="3"/>
    <n v="4338.8100000000004"/>
    <x v="0"/>
    <n v="15000"/>
    <n v="0"/>
    <n v="-10661.189999999999"/>
  </r>
  <r>
    <x v="17"/>
    <x v="13"/>
    <s v="spencer"/>
    <s v="Cruz"/>
    <x v="3"/>
    <n v="1567.02"/>
    <x v="1"/>
    <n v="15000"/>
    <n v="0"/>
    <n v="-13432.98"/>
  </r>
  <r>
    <x v="18"/>
    <x v="15"/>
    <s v="Ally"/>
    <s v="Bryant"/>
    <x v="3"/>
    <n v="1039.17"/>
    <x v="1"/>
    <n v="15000"/>
    <n v="0"/>
    <n v="-13960.83"/>
  </r>
  <r>
    <x v="18"/>
    <x v="13"/>
    <s v="spencer"/>
    <s v="Cruz"/>
    <x v="3"/>
    <n v="700.92"/>
    <x v="0"/>
    <n v="15000"/>
    <n v="0"/>
    <n v="-14299.08"/>
  </r>
  <r>
    <x v="18"/>
    <x v="18"/>
    <s v="Nina"/>
    <s v="McDonald"/>
    <x v="3"/>
    <n v="891.45"/>
    <x v="2"/>
    <n v="15000"/>
    <n v="0"/>
    <n v="-14108.55"/>
  </r>
  <r>
    <x v="18"/>
    <x v="14"/>
    <s v="Josh"/>
    <s v="Sutherland"/>
    <x v="3"/>
    <n v="708.89"/>
    <x v="2"/>
    <n v="15000"/>
    <n v="0"/>
    <n v="-14291.11"/>
  </r>
  <r>
    <x v="18"/>
    <x v="13"/>
    <s v="spencer"/>
    <s v="Cruz"/>
    <x v="3"/>
    <n v="809.55"/>
    <x v="2"/>
    <n v="15000"/>
    <n v="0"/>
    <n v="-14190.45"/>
  </r>
  <r>
    <x v="18"/>
    <x v="18"/>
    <s v="Nina"/>
    <s v="McDonald"/>
    <x v="3"/>
    <n v="734.32"/>
    <x v="0"/>
    <n v="15000"/>
    <n v="0"/>
    <n v="-14265.68"/>
  </r>
  <r>
    <x v="18"/>
    <x v="18"/>
    <s v="Nina"/>
    <s v="McDonald"/>
    <x v="3"/>
    <n v="2839.55"/>
    <x v="1"/>
    <n v="15000"/>
    <n v="0"/>
    <n v="-12160.45"/>
  </r>
  <r>
    <x v="18"/>
    <x v="18"/>
    <s v="Nina"/>
    <s v="McDonald"/>
    <x v="3"/>
    <n v="453.1"/>
    <x v="1"/>
    <n v="15000"/>
    <n v="0"/>
    <n v="-14546.9"/>
  </r>
  <r>
    <x v="19"/>
    <x v="16"/>
    <s v="Tia"/>
    <s v="Cruise"/>
    <x v="3"/>
    <n v="1774.8"/>
    <x v="2"/>
    <n v="15000"/>
    <n v="0"/>
    <n v="-13225.2"/>
  </r>
  <r>
    <x v="19"/>
    <x v="18"/>
    <s v="Nina"/>
    <s v="McDonald"/>
    <x v="3"/>
    <n v="735.66"/>
    <x v="2"/>
    <n v="15000"/>
    <n v="0"/>
    <n v="-14264.34"/>
  </r>
  <r>
    <x v="19"/>
    <x v="16"/>
    <s v="Tia"/>
    <s v="Cruise"/>
    <x v="3"/>
    <n v="675.18"/>
    <x v="0"/>
    <n v="15000"/>
    <n v="0"/>
    <n v="-14324.82"/>
  </r>
  <r>
    <x v="19"/>
    <x v="15"/>
    <s v="Ally"/>
    <s v="Bryant"/>
    <x v="3"/>
    <n v="4142.95"/>
    <x v="0"/>
    <n v="15000"/>
    <n v="0"/>
    <n v="-10857.05"/>
  </r>
  <r>
    <x v="19"/>
    <x v="13"/>
    <s v="spencer"/>
    <s v="Cruz"/>
    <x v="3"/>
    <n v="3637.21"/>
    <x v="2"/>
    <n v="15000"/>
    <n v="0"/>
    <n v="-11362.79"/>
  </r>
  <r>
    <x v="19"/>
    <x v="15"/>
    <s v="Ally"/>
    <s v="Bryant"/>
    <x v="3"/>
    <n v="3918.6"/>
    <x v="0"/>
    <n v="15000"/>
    <n v="0"/>
    <n v="-11081.4"/>
  </r>
  <r>
    <x v="19"/>
    <x v="18"/>
    <s v="Nina"/>
    <s v="McDonald"/>
    <x v="3"/>
    <n v="694.54"/>
    <x v="1"/>
    <n v="15000"/>
    <n v="0"/>
    <n v="-14305.46"/>
  </r>
  <r>
    <x v="19"/>
    <x v="20"/>
    <s v="spencer"/>
    <s v=""/>
    <x v="3"/>
    <n v="3112.72"/>
    <x v="1"/>
    <n v="15000"/>
    <n v="0"/>
    <n v="-11887.28"/>
  </r>
  <r>
    <x v="19"/>
    <x v="18"/>
    <s v="Nina"/>
    <s v="McDonald"/>
    <x v="3"/>
    <n v="1001.92"/>
    <x v="1"/>
    <n v="15000"/>
    <n v="0"/>
    <n v="-13998.08"/>
  </r>
  <r>
    <x v="19"/>
    <x v="14"/>
    <s v="Josh"/>
    <s v="Sutherland"/>
    <x v="3"/>
    <n v="1638.56"/>
    <x v="2"/>
    <n v="15000"/>
    <n v="0"/>
    <n v="-13361.44"/>
  </r>
  <r>
    <x v="19"/>
    <x v="15"/>
    <s v="Ally"/>
    <s v="Bryant"/>
    <x v="3"/>
    <n v="1910.8"/>
    <x v="0"/>
    <n v="15000"/>
    <n v="0"/>
    <n v="-13089.2"/>
  </r>
  <r>
    <x v="19"/>
    <x v="18"/>
    <s v="Nina"/>
    <s v="McDonald"/>
    <x v="3"/>
    <n v="765.82"/>
    <x v="1"/>
    <n v="15000"/>
    <n v="0"/>
    <n v="-14234.18"/>
  </r>
  <r>
    <x v="19"/>
    <x v="15"/>
    <s v="Ally"/>
    <s v="Bryant"/>
    <x v="3"/>
    <n v="765.86"/>
    <x v="0"/>
    <n v="15000"/>
    <n v="0"/>
    <n v="-14234.14"/>
  </r>
  <r>
    <x v="19"/>
    <x v="20"/>
    <s v="spencer"/>
    <s v=""/>
    <x v="3"/>
    <n v="4671.6000000000004"/>
    <x v="2"/>
    <n v="15000"/>
    <n v="0"/>
    <n v="-10328.4"/>
  </r>
  <r>
    <x v="19"/>
    <x v="18"/>
    <s v="Nina"/>
    <s v="McDonald"/>
    <x v="3"/>
    <n v="1945.6"/>
    <x v="2"/>
    <n v="15000"/>
    <n v="0"/>
    <n v="-13054.4"/>
  </r>
  <r>
    <x v="19"/>
    <x v="15"/>
    <s v="Ally"/>
    <s v="Bryant"/>
    <x v="3"/>
    <n v="1017.6"/>
    <x v="0"/>
    <n v="15000"/>
    <n v="0"/>
    <n v="-13982.4"/>
  </r>
  <r>
    <x v="19"/>
    <x v="14"/>
    <s v="Josh"/>
    <s v="Sutherland"/>
    <x v="3"/>
    <n v="909.86"/>
    <x v="1"/>
    <n v="15000"/>
    <n v="0"/>
    <n v="-14090.14"/>
  </r>
  <r>
    <x v="19"/>
    <x v="14"/>
    <s v="Josh"/>
    <s v="Sutherland"/>
    <x v="3"/>
    <n v="533.28"/>
    <x v="0"/>
    <n v="15000"/>
    <n v="0"/>
    <n v="-14466.72"/>
  </r>
  <r>
    <x v="19"/>
    <x v="16"/>
    <s v="Tia"/>
    <s v="Cruise"/>
    <x v="3"/>
    <n v="346.5"/>
    <x v="0"/>
    <n v="15000"/>
    <n v="0"/>
    <n v="-14653.5"/>
  </r>
  <r>
    <x v="19"/>
    <x v="15"/>
    <s v="Ally"/>
    <s v="Bryant"/>
    <x v="3"/>
    <n v="806.56"/>
    <x v="1"/>
    <n v="15000"/>
    <n v="0"/>
    <n v="-14193.44"/>
  </r>
  <r>
    <x v="19"/>
    <x v="15"/>
    <s v="Ally"/>
    <s v="Bryant"/>
    <x v="3"/>
    <n v="1154.3"/>
    <x v="2"/>
    <n v="15000"/>
    <n v="0"/>
    <n v="-13845.7"/>
  </r>
  <r>
    <x v="19"/>
    <x v="20"/>
    <s v="spencer"/>
    <s v=""/>
    <x v="3"/>
    <n v="1115.55"/>
    <x v="2"/>
    <n v="15000"/>
    <n v="0"/>
    <n v="-13884.45"/>
  </r>
  <r>
    <x v="19"/>
    <x v="15"/>
    <s v="Ally"/>
    <s v="Bryant"/>
    <x v="3"/>
    <n v="1064.9000000000001"/>
    <x v="1"/>
    <n v="15000"/>
    <n v="0"/>
    <n v="-13935.1"/>
  </r>
  <r>
    <x v="19"/>
    <x v="15"/>
    <s v="Ally"/>
    <s v="Bryant"/>
    <x v="3"/>
    <n v="2439.5100000000002"/>
    <x v="2"/>
    <n v="15000"/>
    <n v="0"/>
    <n v="-12560.49"/>
  </r>
  <r>
    <x v="19"/>
    <x v="15"/>
    <s v="Ally"/>
    <s v="Bryant"/>
    <x v="3"/>
    <n v="1563.32"/>
    <x v="0"/>
    <n v="15000"/>
    <n v="0"/>
    <n v="-13436.68"/>
  </r>
  <r>
    <x v="19"/>
    <x v="14"/>
    <s v="Josh"/>
    <s v="Sutherland"/>
    <x v="3"/>
    <n v="1067.94"/>
    <x v="1"/>
    <n v="15000"/>
    <n v="0"/>
    <n v="-13932.06"/>
  </r>
  <r>
    <x v="19"/>
    <x v="15"/>
    <s v="Ally"/>
    <s v="Bryant"/>
    <x v="3"/>
    <n v="2086.84"/>
    <x v="0"/>
    <n v="15000"/>
    <n v="0"/>
    <n v="-12913.16"/>
  </r>
  <r>
    <x v="19"/>
    <x v="15"/>
    <s v="Ally"/>
    <s v="Bryant"/>
    <x v="3"/>
    <n v="1006.72"/>
    <x v="1"/>
    <n v="15000"/>
    <n v="0"/>
    <n v="-13993.28"/>
  </r>
  <r>
    <x v="19"/>
    <x v="15"/>
    <s v="Ally"/>
    <s v="Bryant"/>
    <x v="3"/>
    <n v="957.48"/>
    <x v="0"/>
    <n v="15000"/>
    <n v="0"/>
    <n v="-14042.52"/>
  </r>
  <r>
    <x v="19"/>
    <x v="16"/>
    <s v="Tia"/>
    <s v="Cruise"/>
    <x v="3"/>
    <n v="1506.12"/>
    <x v="0"/>
    <n v="15000"/>
    <n v="0"/>
    <n v="-13493.880000000001"/>
  </r>
  <r>
    <x v="19"/>
    <x v="16"/>
    <s v="Tia"/>
    <s v="Cruise"/>
    <x v="3"/>
    <n v="3965.39"/>
    <x v="1"/>
    <n v="15000"/>
    <n v="0"/>
    <n v="-11034.61"/>
  </r>
  <r>
    <x v="19"/>
    <x v="20"/>
    <s v="spencer"/>
    <s v=""/>
    <x v="3"/>
    <n v="3719.25"/>
    <x v="1"/>
    <n v="15000"/>
    <n v="0"/>
    <n v="-11280.75"/>
  </r>
  <r>
    <x v="20"/>
    <x v="15"/>
    <s v="Ally"/>
    <s v="Bryant"/>
    <x v="3"/>
    <n v="1430.16"/>
    <x v="0"/>
    <n v="15000"/>
    <n v="0"/>
    <n v="-13569.84"/>
  </r>
  <r>
    <x v="20"/>
    <x v="14"/>
    <s v="Josh"/>
    <s v="Sutherland"/>
    <x v="3"/>
    <n v="1726.2"/>
    <x v="0"/>
    <n v="15000"/>
    <n v="0"/>
    <n v="-13273.8"/>
  </r>
  <r>
    <x v="20"/>
    <x v="18"/>
    <s v="Nina"/>
    <s v="McDonald"/>
    <x v="3"/>
    <n v="1045.1199999999999"/>
    <x v="2"/>
    <n v="15000"/>
    <n v="0"/>
    <n v="-13954.880000000001"/>
  </r>
  <r>
    <x v="20"/>
    <x v="15"/>
    <s v="Ally"/>
    <s v="Bryant"/>
    <x v="3"/>
    <n v="1432.95"/>
    <x v="2"/>
    <n v="15000"/>
    <n v="0"/>
    <n v="-13567.05"/>
  </r>
  <r>
    <x v="20"/>
    <x v="15"/>
    <s v="Ally"/>
    <s v="Bryant"/>
    <x v="3"/>
    <n v="3140.7"/>
    <x v="0"/>
    <n v="15000"/>
    <n v="0"/>
    <n v="-11859.3"/>
  </r>
  <r>
    <x v="20"/>
    <x v="15"/>
    <s v="Ally"/>
    <s v="Bryant"/>
    <x v="3"/>
    <n v="869.4"/>
    <x v="2"/>
    <n v="15000"/>
    <n v="0"/>
    <n v="-14130.6"/>
  </r>
  <r>
    <x v="21"/>
    <x v="14"/>
    <s v="Josh"/>
    <s v="Sutherland"/>
    <x v="3"/>
    <n v="3564.75"/>
    <x v="1"/>
    <n v="15000"/>
    <n v="0"/>
    <n v="-11435.25"/>
  </r>
  <r>
    <x v="21"/>
    <x v="15"/>
    <s v="Ally"/>
    <s v="Bryant"/>
    <x v="3"/>
    <n v="911.6"/>
    <x v="2"/>
    <n v="15000"/>
    <n v="0"/>
    <n v="-14088.4"/>
  </r>
  <r>
    <x v="21"/>
    <x v="14"/>
    <s v="Josh"/>
    <s v="Sutherland"/>
    <x v="3"/>
    <n v="1011.03"/>
    <x v="2"/>
    <n v="15000"/>
    <n v="0"/>
    <n v="-13988.97"/>
  </r>
  <r>
    <x v="21"/>
    <x v="16"/>
    <s v="Tia"/>
    <s v="Cruise"/>
    <x v="3"/>
    <n v="2795.68"/>
    <x v="0"/>
    <n v="15000"/>
    <n v="0"/>
    <n v="-12204.32"/>
  </r>
  <r>
    <x v="21"/>
    <x v="16"/>
    <s v="Tia"/>
    <s v="Cruise"/>
    <x v="3"/>
    <n v="2767.09"/>
    <x v="1"/>
    <n v="15000"/>
    <n v="0"/>
    <n v="-12232.91"/>
  </r>
  <r>
    <x v="21"/>
    <x v="14"/>
    <s v="Josh"/>
    <s v="Sutherland"/>
    <x v="3"/>
    <n v="798.27"/>
    <x v="1"/>
    <n v="15000"/>
    <n v="0"/>
    <n v="-14201.73"/>
  </r>
  <r>
    <x v="21"/>
    <x v="16"/>
    <s v="Tia"/>
    <s v="Cruise"/>
    <x v="3"/>
    <n v="2510.2399999999998"/>
    <x v="0"/>
    <n v="15000"/>
    <n v="0"/>
    <n v="-12489.76"/>
  </r>
  <r>
    <x v="21"/>
    <x v="14"/>
    <s v="Josh"/>
    <s v="Sutherland"/>
    <x v="3"/>
    <n v="3690.72"/>
    <x v="0"/>
    <n v="15000"/>
    <n v="0"/>
    <n v="-11309.28"/>
  </r>
  <r>
    <x v="21"/>
    <x v="13"/>
    <s v="spencer"/>
    <s v="Cruz"/>
    <x v="3"/>
    <n v="670.89"/>
    <x v="1"/>
    <n v="15000"/>
    <n v="0"/>
    <n v="-14329.11"/>
  </r>
  <r>
    <x v="21"/>
    <x v="15"/>
    <s v="Ally"/>
    <s v="Bryant"/>
    <x v="3"/>
    <n v="2012.8"/>
    <x v="1"/>
    <n v="15000"/>
    <n v="0"/>
    <n v="-12987.2"/>
  </r>
  <r>
    <x v="21"/>
    <x v="13"/>
    <s v="spencer"/>
    <s v="Cruz"/>
    <x v="3"/>
    <n v="2116.8000000000002"/>
    <x v="2"/>
    <n v="15000"/>
    <n v="0"/>
    <n v="-12883.2"/>
  </r>
  <r>
    <x v="21"/>
    <x v="18"/>
    <s v="Nina"/>
    <s v="McDonald"/>
    <x v="3"/>
    <n v="1158.04"/>
    <x v="0"/>
    <n v="15000"/>
    <n v="0"/>
    <n v="-13841.96"/>
  </r>
  <r>
    <x v="21"/>
    <x v="18"/>
    <s v="Nina"/>
    <s v="McDonald"/>
    <x v="3"/>
    <n v="1680.64"/>
    <x v="2"/>
    <n v="15000"/>
    <n v="0"/>
    <n v="-13319.36"/>
  </r>
  <r>
    <x v="21"/>
    <x v="14"/>
    <s v="Josh"/>
    <s v="Sutherland"/>
    <x v="3"/>
    <n v="690"/>
    <x v="0"/>
    <n v="15000"/>
    <n v="0"/>
    <n v="-14310"/>
  </r>
  <r>
    <x v="21"/>
    <x v="15"/>
    <s v="Ally"/>
    <s v="Bryant"/>
    <x v="3"/>
    <n v="1430.29"/>
    <x v="2"/>
    <n v="15000"/>
    <n v="0"/>
    <n v="-13569.71"/>
  </r>
  <r>
    <x v="21"/>
    <x v="16"/>
    <s v="Tia"/>
    <s v="Cruise"/>
    <x v="3"/>
    <n v="2079.7199999999998"/>
    <x v="0"/>
    <n v="15000"/>
    <n v="0"/>
    <n v="-12920.28"/>
  </r>
  <r>
    <x v="21"/>
    <x v="13"/>
    <s v="spencer"/>
    <s v="Cruz"/>
    <x v="3"/>
    <n v="2686.6"/>
    <x v="1"/>
    <n v="15000"/>
    <n v="0"/>
    <n v="-12313.4"/>
  </r>
  <r>
    <x v="21"/>
    <x v="13"/>
    <s v="spencer"/>
    <s v="Cruz"/>
    <x v="3"/>
    <n v="968.3"/>
    <x v="1"/>
    <n v="15000"/>
    <n v="0"/>
    <n v="-14031.7"/>
  </r>
  <r>
    <x v="21"/>
    <x v="18"/>
    <s v="Nina"/>
    <s v="McDonald"/>
    <x v="3"/>
    <n v="4142.07"/>
    <x v="2"/>
    <n v="15000"/>
    <n v="0"/>
    <n v="-10857.93"/>
  </r>
  <r>
    <x v="21"/>
    <x v="16"/>
    <s v="Tia"/>
    <s v="Cruise"/>
    <x v="3"/>
    <n v="1069.47"/>
    <x v="1"/>
    <n v="15000"/>
    <n v="0"/>
    <n v="-13930.53"/>
  </r>
  <r>
    <x v="21"/>
    <x v="14"/>
    <s v="Josh"/>
    <s v="Sutherland"/>
    <x v="3"/>
    <n v="1059.52"/>
    <x v="1"/>
    <n v="15000"/>
    <n v="0"/>
    <n v="-13940.48"/>
  </r>
  <r>
    <x v="21"/>
    <x v="14"/>
    <s v="Josh"/>
    <s v="Sutherland"/>
    <x v="3"/>
    <n v="1423.54"/>
    <x v="1"/>
    <n v="15000"/>
    <n v="0"/>
    <n v="-13576.46"/>
  </r>
  <r>
    <x v="21"/>
    <x v="14"/>
    <s v="Josh"/>
    <s v="Sutherland"/>
    <x v="3"/>
    <n v="3653.02"/>
    <x v="0"/>
    <n v="15000"/>
    <n v="0"/>
    <n v="-11346.98"/>
  </r>
  <r>
    <x v="21"/>
    <x v="16"/>
    <s v="Tia"/>
    <s v="Cruise"/>
    <x v="3"/>
    <n v="719.6"/>
    <x v="0"/>
    <n v="15000"/>
    <n v="0"/>
    <n v="-14280.4"/>
  </r>
  <r>
    <x v="21"/>
    <x v="18"/>
    <s v="Nina"/>
    <s v="McDonald"/>
    <x v="3"/>
    <n v="299.72000000000003"/>
    <x v="2"/>
    <n v="15000"/>
    <n v="0"/>
    <n v="-14700.28"/>
  </r>
  <r>
    <x v="22"/>
    <x v="13"/>
    <s v="spencer"/>
    <s v="Cruz"/>
    <x v="3"/>
    <n v="3689.62"/>
    <x v="1"/>
    <n v="15000"/>
    <n v="0"/>
    <n v="-11310.380000000001"/>
  </r>
  <r>
    <x v="22"/>
    <x v="16"/>
    <s v="Tia"/>
    <s v="Cruise"/>
    <x v="3"/>
    <n v="771.4"/>
    <x v="2"/>
    <n v="15000"/>
    <n v="0"/>
    <n v="-14228.6"/>
  </r>
  <r>
    <x v="22"/>
    <x v="15"/>
    <s v="Ally"/>
    <s v="Bryant"/>
    <x v="3"/>
    <n v="1636.39"/>
    <x v="2"/>
    <n v="15000"/>
    <n v="0"/>
    <n v="-13363.61"/>
  </r>
  <r>
    <x v="22"/>
    <x v="18"/>
    <s v="Nina"/>
    <s v="McDonald"/>
    <x v="3"/>
    <n v="1515.24"/>
    <x v="1"/>
    <n v="15000"/>
    <n v="0"/>
    <n v="-1348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03C28-8CBA-450E-9884-F7D9488177A5}"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16" firstHeaderRow="0" firstDataRow="1" firstDataCol="1" rowPageCount="1" colPageCount="1"/>
  <pivotFields count="12">
    <pivotField axis="axisRow" numFmtId="164" showAll="0">
      <items count="24">
        <item x="0"/>
        <item x="1"/>
        <item x="2"/>
        <item x="3"/>
        <item x="4"/>
        <item x="5"/>
        <item x="6"/>
        <item x="7"/>
        <item x="8"/>
        <item x="9"/>
        <item x="10"/>
        <item x="11"/>
        <item x="12"/>
        <item x="13"/>
        <item x="14"/>
        <item x="15"/>
        <item x="16"/>
        <item x="17"/>
        <item x="18"/>
        <item x="19"/>
        <item x="20"/>
        <item x="21"/>
        <item x="22"/>
        <item t="default"/>
      </items>
    </pivotField>
    <pivotField showAll="0">
      <items count="22">
        <item x="15"/>
        <item x="5"/>
        <item x="9"/>
        <item x="17"/>
        <item x="3"/>
        <item x="0"/>
        <item x="8"/>
        <item x="2"/>
        <item x="10"/>
        <item x="6"/>
        <item x="12"/>
        <item x="7"/>
        <item x="1"/>
        <item x="14"/>
        <item x="18"/>
        <item x="4"/>
        <item x="11"/>
        <item x="19"/>
        <item x="20"/>
        <item x="13"/>
        <item x="16"/>
        <item t="default"/>
      </items>
    </pivotField>
    <pivotField showAll="0"/>
    <pivotField showAll="0"/>
    <pivotField showAll="0">
      <items count="5">
        <item x="0"/>
        <item x="1"/>
        <item x="2"/>
        <item x="3"/>
        <item t="default"/>
      </items>
    </pivotField>
    <pivotField dataField="1" showAll="0"/>
    <pivotField axis="axisPage" showAll="0">
      <items count="4">
        <item x="0"/>
        <item x="2"/>
        <item x="1"/>
        <item t="default"/>
      </items>
    </pivotField>
    <pivotField showAll="0"/>
    <pivotField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Fields count="1">
    <field x="-2"/>
  </colFields>
  <colItems count="2">
    <i>
      <x/>
    </i>
    <i i="1">
      <x v="1"/>
    </i>
  </colItems>
  <pageFields count="1">
    <pageField fld="6" hier="-1"/>
  </pageFields>
  <dataFields count="2">
    <dataField name="Total Sales" fld="5" baseField="11" baseItem="1"/>
    <dataField name="% of Grand Total." fld="5" showDataAs="percentOfTotal" baseField="11" baseItem="8" numFmtId="10"/>
  </dataFields>
  <formats count="13">
    <format dxfId="21">
      <pivotArea collapsedLevelsAreSubtotals="1" fieldPosition="0">
        <references count="1">
          <reference field="11" count="1">
            <x v="1"/>
          </reference>
        </references>
      </pivotArea>
    </format>
    <format dxfId="20">
      <pivotArea collapsedLevelsAreSubtotals="1" fieldPosition="0">
        <references count="1">
          <reference field="11" count="1">
            <x v="2"/>
          </reference>
        </references>
      </pivotArea>
    </format>
    <format dxfId="19">
      <pivotArea collapsedLevelsAreSubtotals="1" fieldPosition="0">
        <references count="1">
          <reference field="11" count="1">
            <x v="3"/>
          </reference>
        </references>
      </pivotArea>
    </format>
    <format dxfId="18">
      <pivotArea collapsedLevelsAreSubtotals="1" fieldPosition="0">
        <references count="1">
          <reference field="11" count="1">
            <x v="4"/>
          </reference>
        </references>
      </pivotArea>
    </format>
    <format dxfId="17">
      <pivotArea collapsedLevelsAreSubtotals="1" fieldPosition="0">
        <references count="1">
          <reference field="11" count="1">
            <x v="5"/>
          </reference>
        </references>
      </pivotArea>
    </format>
    <format dxfId="16">
      <pivotArea collapsedLevelsAreSubtotals="1" fieldPosition="0">
        <references count="1">
          <reference field="11" count="1">
            <x v="6"/>
          </reference>
        </references>
      </pivotArea>
    </format>
    <format dxfId="15">
      <pivotArea collapsedLevelsAreSubtotals="1" fieldPosition="0">
        <references count="1">
          <reference field="11" count="1">
            <x v="7"/>
          </reference>
        </references>
      </pivotArea>
    </format>
    <format dxfId="14">
      <pivotArea collapsedLevelsAreSubtotals="1" fieldPosition="0">
        <references count="1">
          <reference field="11" count="1">
            <x v="8"/>
          </reference>
        </references>
      </pivotArea>
    </format>
    <format dxfId="13">
      <pivotArea collapsedLevelsAreSubtotals="1" fieldPosition="0">
        <references count="1">
          <reference field="11" count="1">
            <x v="9"/>
          </reference>
        </references>
      </pivotArea>
    </format>
    <format dxfId="12">
      <pivotArea collapsedLevelsAreSubtotals="1" fieldPosition="0">
        <references count="1">
          <reference field="11" count="1">
            <x v="10"/>
          </reference>
        </references>
      </pivotArea>
    </format>
    <format dxfId="11">
      <pivotArea collapsedLevelsAreSubtotals="1" fieldPosition="0">
        <references count="1">
          <reference field="11" count="1">
            <x v="11"/>
          </reference>
        </references>
      </pivotArea>
    </format>
    <format dxfId="10">
      <pivotArea collapsedLevelsAreSubtotals="1" fieldPosition="0">
        <references count="1">
          <reference field="11" count="1">
            <x v="12"/>
          </reference>
        </references>
      </pivotArea>
    </format>
    <format dxfId="9">
      <pivotArea outline="0" fieldPosition="0">
        <references count="1">
          <reference field="4294967294" count="1">
            <x v="1"/>
          </reference>
        </references>
      </pivotArea>
    </format>
  </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2E6CC876-6D68-4C9E-ACC4-6B9178C87319}" sourceName="Employee">
  <pivotTables>
    <pivotTable tabId="8" name="PivotTable3"/>
  </pivotTables>
  <data>
    <tabular pivotCacheId="792158888">
      <items count="21">
        <i x="15" s="1"/>
        <i x="5" s="1"/>
        <i x="9" s="1"/>
        <i x="17" s="1"/>
        <i x="3" s="1"/>
        <i x="0" s="1"/>
        <i x="8" s="1"/>
        <i x="2" s="1"/>
        <i x="10" s="1"/>
        <i x="6" s="1"/>
        <i x="12" s="1"/>
        <i x="7" s="1"/>
        <i x="1" s="1"/>
        <i x="14" s="1"/>
        <i x="18" s="1"/>
        <i x="4" s="1"/>
        <i x="11" s="1"/>
        <i x="19" s="1"/>
        <i x="20" s="1"/>
        <i x="13"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rea" xr10:uid="{1BD9FBCB-8B86-4E83-B1B2-6A19752FF817}" sourceName="Sales Area">
  <pivotTables>
    <pivotTable tabId="8" name="PivotTable3"/>
  </pivotTables>
  <data>
    <tabular pivotCacheId="79215888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A6325119-744B-4552-B373-7ED94FBDF0A9}" cache="Slicer_Employee" caption="Employee" style="SlicerStyleDark3" rowHeight="247650"/>
  <slicer name="Sales Area" xr10:uid="{1312DBB2-E0F0-43AC-A88B-261425443438}" cache="Slicer_Sales_Area" caption="Sales Area" style="SlicerStyleDark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E2B978-6AF7-4D67-A1B8-6C053C796309}" name="Sales_data" displayName="Sales_data" ref="A2:J490" totalsRowCount="1">
  <autoFilter ref="A2:J489" xr:uid="{94E2B978-6AF7-4D67-A1B8-6C053C796309}"/>
  <tableColumns count="10">
    <tableColumn id="1" xr3:uid="{12D1708A-732E-471E-BE0B-4AD464A5C146}" name="Month" totalsRowLabel="Total" dataDxfId="25"/>
    <tableColumn id="2" xr3:uid="{D5EA0EB4-AC1B-4830-9165-8E88AC9D0037}" name="Employee" dataDxfId="24" totalsRowDxfId="23"/>
    <tableColumn id="3" xr3:uid="{4F15D779-87C5-4E94-8313-DAAAD0CA0E07}" name="First Name"/>
    <tableColumn id="4" xr3:uid="{787DE676-AD56-4767-A10F-FDC42EAFB6C6}" name="Last Name"/>
    <tableColumn id="5" xr3:uid="{89229F29-71CC-424C-8801-1A83015911E7}" name="Sales Area"/>
    <tableColumn id="6" xr3:uid="{BCC9C814-9FF6-4CC5-ABA6-F111B44FF420}" name="Sales Amount" totalsRowFunction="sum"/>
    <tableColumn id="7" xr3:uid="{D2390018-5A2B-4DB1-A6EC-9AFD280E0E93}" name="Payment Type"/>
    <tableColumn id="8" xr3:uid="{8D36B9EB-B8D6-4780-8348-0A2445500682}" name="TARGET"/>
    <tableColumn id="9" xr3:uid="{B58336A3-E49B-4B0B-AFAC-EF577A8DDAA7}" name="COMMISION" totalsRowFunction="sum">
      <calculatedColumnFormula>IF(F3&gt;=H3,0.1*F3,0)</calculatedColumnFormula>
    </tableColumn>
    <tableColumn id="10" xr3:uid="{7714BD58-275C-4607-B78E-1A8F99F41424}" name="Over/Under" dataDxfId="22">
      <calculatedColumnFormula>(Sales_data[[#This Row],[Sales Amount]]-Sales_data[[#This Row],[TARGET]])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94E694-98B3-4263-8A27-1ED249AB4264}" name="new_satff" displayName="new_satff" ref="A1:E22" totalsRowShown="0">
  <autoFilter ref="A1:E22" xr:uid="{A894E694-98B3-4263-8A27-1ED249AB4264}"/>
  <tableColumns count="5">
    <tableColumn id="1" xr3:uid="{104A35DD-2425-4BF8-A215-5278211DAC62}" name="Column1" dataDxfId="8"/>
    <tableColumn id="2" xr3:uid="{C4293839-FFA8-45AE-AD89-B8590A8248F9}" name="Column2" dataDxfId="7"/>
    <tableColumn id="3" xr3:uid="{F4973726-18CB-4EFB-A6A7-B7B124C72F08}" name="Column3" dataDxfId="6"/>
    <tableColumn id="4" xr3:uid="{F808419B-AA32-4628-B6D3-74FEF79628AB}" name="Column4" dataDxfId="5"/>
    <tableColumn id="5" xr3:uid="{6FCED78E-690F-482F-ADD3-A2A688337BBB}" name="Column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2777-CE72-46B7-9E1E-BABC223B1B25}">
  <dimension ref="A1:G16"/>
  <sheetViews>
    <sheetView workbookViewId="0">
      <selection activeCell="I17" sqref="I17"/>
    </sheetView>
  </sheetViews>
  <sheetFormatPr defaultRowHeight="14.4" x14ac:dyDescent="0.3"/>
  <cols>
    <col min="2" max="2" width="19.109375" customWidth="1"/>
  </cols>
  <sheetData>
    <row r="1" spans="1:7" ht="14.4" customHeight="1" x14ac:dyDescent="0.3">
      <c r="A1" s="25" t="s">
        <v>153</v>
      </c>
      <c r="B1" s="26"/>
      <c r="C1" s="26"/>
      <c r="D1" s="26"/>
      <c r="E1" s="26"/>
      <c r="F1" s="26"/>
      <c r="G1" s="26"/>
    </row>
    <row r="2" spans="1:7" x14ac:dyDescent="0.3">
      <c r="A2" s="26"/>
      <c r="B2" s="26"/>
      <c r="C2" s="26"/>
      <c r="D2" s="26"/>
      <c r="E2" s="26"/>
      <c r="F2" s="26"/>
      <c r="G2" s="26"/>
    </row>
    <row r="3" spans="1:7" x14ac:dyDescent="0.3">
      <c r="A3" s="26"/>
      <c r="B3" s="26"/>
      <c r="C3" s="26"/>
      <c r="D3" s="26"/>
      <c r="E3" s="26"/>
      <c r="F3" s="26"/>
      <c r="G3" s="26"/>
    </row>
    <row r="4" spans="1:7" x14ac:dyDescent="0.3">
      <c r="A4" s="26"/>
      <c r="B4" s="26"/>
      <c r="C4" s="26"/>
      <c r="D4" s="26"/>
      <c r="E4" s="26"/>
      <c r="F4" s="26"/>
      <c r="G4" s="26"/>
    </row>
    <row r="6" spans="1:7" x14ac:dyDescent="0.3">
      <c r="B6" s="12"/>
    </row>
    <row r="7" spans="1:7" ht="18" x14ac:dyDescent="0.35">
      <c r="B7" s="13" t="s">
        <v>154</v>
      </c>
    </row>
    <row r="8" spans="1:7" ht="18" x14ac:dyDescent="0.35">
      <c r="B8" s="13" t="s">
        <v>31</v>
      </c>
    </row>
    <row r="9" spans="1:7" ht="18" x14ac:dyDescent="0.35">
      <c r="B9" s="13" t="s">
        <v>44</v>
      </c>
    </row>
    <row r="10" spans="1:7" ht="18" x14ac:dyDescent="0.35">
      <c r="B10" s="13" t="s">
        <v>18</v>
      </c>
    </row>
    <row r="11" spans="1:7" ht="18" x14ac:dyDescent="0.35">
      <c r="B11" s="13" t="s">
        <v>8</v>
      </c>
    </row>
    <row r="12" spans="1:7" ht="19.2" customHeight="1" x14ac:dyDescent="0.35">
      <c r="B12" s="14" t="s">
        <v>155</v>
      </c>
    </row>
    <row r="13" spans="1:7" ht="18" x14ac:dyDescent="0.35">
      <c r="B13" s="13" t="s">
        <v>156</v>
      </c>
    </row>
    <row r="14" spans="1:7" ht="18" x14ac:dyDescent="0.35">
      <c r="B14" s="13" t="s">
        <v>157</v>
      </c>
    </row>
    <row r="15" spans="1:7" ht="18" x14ac:dyDescent="0.35">
      <c r="B15" s="13" t="s">
        <v>158</v>
      </c>
    </row>
    <row r="16" spans="1:7" ht="18" x14ac:dyDescent="0.35">
      <c r="B16" s="15"/>
    </row>
  </sheetData>
  <mergeCells count="1">
    <mergeCell ref="A1:G4"/>
  </mergeCells>
  <hyperlinks>
    <hyperlink ref="B7" location="'All Sales'!A1" display="All Sales" xr:uid="{296B28DD-9E6A-44D9-A95E-131E18EC53FD}"/>
    <hyperlink ref="B8" location="North!A1" display="North" xr:uid="{F870FEDD-B977-446A-A399-847866F80E53}"/>
    <hyperlink ref="B9" location="South!A1" display="South" xr:uid="{1D31FECB-5A19-4FCA-BC61-A04B5B8DFE73}"/>
    <hyperlink ref="B10" location="East!A1" display="East" xr:uid="{6DF21B07-5E74-4E45-A863-BD633015EE78}"/>
    <hyperlink ref="B11" location="West!A1" display="West" xr:uid="{C40B9E36-425A-4916-BA10-92AB99F76E61}"/>
    <hyperlink ref="B13" location="Chart!A1" display="Chart" xr:uid="{ECDA812F-2CE6-48BE-A1CF-88205B908A42}"/>
    <hyperlink ref="B14" location="'sales analysis'!A1" display="Sales Analysis" xr:uid="{89FECE66-DEB1-475B-BA05-01B57462B22E}"/>
    <hyperlink ref="B15" location="new_satff!A1" display="New Staff" xr:uid="{9E3DC067-3488-4FFB-A3EB-CA5E4DE2D400}"/>
    <hyperlink ref="B12" location="'copy of All Sales'!A1" display="Copy of All Sales" xr:uid="{458F84AB-36EB-431F-B98A-056CA6132B81}"/>
  </hyperlinks>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F04A2-F752-4D69-98D2-2BCE6B0A7BE1}">
  <dimension ref="A2:I489"/>
  <sheetViews>
    <sheetView workbookViewId="0">
      <selection activeCell="H9" sqref="H9"/>
    </sheetView>
  </sheetViews>
  <sheetFormatPr defaultRowHeight="14.4" x14ac:dyDescent="0.3"/>
  <cols>
    <col min="2" max="2" width="17.109375" customWidth="1"/>
    <col min="3" max="3" width="12.5546875" customWidth="1"/>
    <col min="4" max="4" width="11" customWidth="1"/>
    <col min="7" max="7" width="13.33203125" customWidth="1"/>
    <col min="9" max="9" width="11.21875" customWidth="1"/>
  </cols>
  <sheetData>
    <row r="2" spans="1:9" ht="28.8" x14ac:dyDescent="0.3">
      <c r="A2" s="19" t="s">
        <v>0</v>
      </c>
      <c r="B2" s="18" t="s">
        <v>1</v>
      </c>
      <c r="C2" s="18" t="s">
        <v>2</v>
      </c>
      <c r="D2" s="18" t="s">
        <v>3</v>
      </c>
      <c r="E2" s="18" t="s">
        <v>4</v>
      </c>
      <c r="F2" s="18" t="s">
        <v>5</v>
      </c>
      <c r="G2" s="18" t="s">
        <v>6</v>
      </c>
      <c r="H2" s="19" t="s">
        <v>76</v>
      </c>
      <c r="I2" s="18" t="s">
        <v>77</v>
      </c>
    </row>
    <row r="3" spans="1:9" x14ac:dyDescent="0.3">
      <c r="A3" s="2">
        <v>45678</v>
      </c>
      <c r="B3" s="1" t="s">
        <v>28</v>
      </c>
      <c r="C3" t="s">
        <v>29</v>
      </c>
      <c r="D3" t="s">
        <v>30</v>
      </c>
      <c r="E3" t="s">
        <v>31</v>
      </c>
      <c r="F3">
        <v>3035.1</v>
      </c>
      <c r="G3" t="s">
        <v>10</v>
      </c>
      <c r="H3">
        <v>15000</v>
      </c>
      <c r="I3">
        <f t="shared" ref="I3:I66" si="0">IF(F3&gt;=H3,0.1*F3,0)</f>
        <v>0</v>
      </c>
    </row>
    <row r="4" spans="1:9" x14ac:dyDescent="0.3">
      <c r="A4" s="2">
        <v>45678</v>
      </c>
      <c r="B4" s="1" t="s">
        <v>32</v>
      </c>
      <c r="C4" t="s">
        <v>33</v>
      </c>
      <c r="D4" t="s">
        <v>34</v>
      </c>
      <c r="E4" t="s">
        <v>31</v>
      </c>
      <c r="F4">
        <v>3710</v>
      </c>
      <c r="G4" t="s">
        <v>12</v>
      </c>
      <c r="H4">
        <v>15000</v>
      </c>
      <c r="I4">
        <f t="shared" si="0"/>
        <v>0</v>
      </c>
    </row>
    <row r="5" spans="1:9" x14ac:dyDescent="0.3">
      <c r="A5" s="2">
        <v>45678</v>
      </c>
      <c r="B5" s="1" t="s">
        <v>28</v>
      </c>
      <c r="C5" t="s">
        <v>29</v>
      </c>
      <c r="D5" t="s">
        <v>30</v>
      </c>
      <c r="E5" t="s">
        <v>31</v>
      </c>
      <c r="F5">
        <v>6201</v>
      </c>
      <c r="G5" t="s">
        <v>12</v>
      </c>
      <c r="H5">
        <v>15000</v>
      </c>
      <c r="I5">
        <f t="shared" si="0"/>
        <v>0</v>
      </c>
    </row>
    <row r="6" spans="1:9" x14ac:dyDescent="0.3">
      <c r="A6" s="2">
        <v>45678</v>
      </c>
      <c r="B6" s="1" t="s">
        <v>35</v>
      </c>
      <c r="C6" t="s">
        <v>36</v>
      </c>
      <c r="D6" t="s">
        <v>37</v>
      </c>
      <c r="E6" t="s">
        <v>31</v>
      </c>
      <c r="F6">
        <v>6311.4</v>
      </c>
      <c r="G6" t="s">
        <v>12</v>
      </c>
      <c r="H6">
        <v>15000</v>
      </c>
      <c r="I6">
        <f t="shared" si="0"/>
        <v>0</v>
      </c>
    </row>
    <row r="7" spans="1:9" x14ac:dyDescent="0.3">
      <c r="A7" s="2">
        <v>45678</v>
      </c>
      <c r="B7" s="1" t="s">
        <v>38</v>
      </c>
      <c r="C7" t="s">
        <v>39</v>
      </c>
      <c r="D7" t="s">
        <v>40</v>
      </c>
      <c r="E7" t="s">
        <v>31</v>
      </c>
      <c r="F7">
        <v>6600</v>
      </c>
      <c r="G7" t="s">
        <v>9</v>
      </c>
      <c r="H7">
        <v>15000</v>
      </c>
      <c r="I7">
        <f t="shared" si="0"/>
        <v>0</v>
      </c>
    </row>
    <row r="8" spans="1:9" x14ac:dyDescent="0.3">
      <c r="A8" s="2">
        <v>45678</v>
      </c>
      <c r="B8" s="1" t="s">
        <v>38</v>
      </c>
      <c r="C8" t="s">
        <v>39</v>
      </c>
      <c r="D8" t="s">
        <v>40</v>
      </c>
      <c r="E8" t="s">
        <v>31</v>
      </c>
      <c r="F8">
        <v>6688</v>
      </c>
      <c r="G8" t="s">
        <v>10</v>
      </c>
      <c r="H8">
        <v>15000</v>
      </c>
      <c r="I8">
        <f t="shared" si="0"/>
        <v>0</v>
      </c>
    </row>
    <row r="9" spans="1:9" x14ac:dyDescent="0.3">
      <c r="A9" s="2">
        <v>45678</v>
      </c>
      <c r="B9" s="1" t="s">
        <v>41</v>
      </c>
      <c r="C9" t="s">
        <v>42</v>
      </c>
      <c r="D9" t="s">
        <v>43</v>
      </c>
      <c r="E9" t="s">
        <v>44</v>
      </c>
      <c r="F9">
        <v>3008.4</v>
      </c>
      <c r="G9" t="s">
        <v>10</v>
      </c>
      <c r="H9">
        <v>15000</v>
      </c>
      <c r="I9">
        <f t="shared" si="0"/>
        <v>0</v>
      </c>
    </row>
    <row r="10" spans="1:9" x14ac:dyDescent="0.3">
      <c r="A10" s="2">
        <v>45678</v>
      </c>
      <c r="B10" s="1" t="s">
        <v>45</v>
      </c>
      <c r="C10" t="s">
        <v>46</v>
      </c>
      <c r="D10" t="s">
        <v>47</v>
      </c>
      <c r="E10" t="s">
        <v>44</v>
      </c>
      <c r="F10">
        <v>3386.6</v>
      </c>
      <c r="G10" t="s">
        <v>10</v>
      </c>
      <c r="H10">
        <v>15000</v>
      </c>
      <c r="I10">
        <f t="shared" si="0"/>
        <v>0</v>
      </c>
    </row>
    <row r="11" spans="1:9" x14ac:dyDescent="0.3">
      <c r="A11" s="2">
        <v>45678</v>
      </c>
      <c r="B11" s="1" t="s">
        <v>45</v>
      </c>
      <c r="C11" t="s">
        <v>46</v>
      </c>
      <c r="D11" t="s">
        <v>47</v>
      </c>
      <c r="E11" t="s">
        <v>44</v>
      </c>
      <c r="F11">
        <v>3596</v>
      </c>
      <c r="G11" t="s">
        <v>10</v>
      </c>
      <c r="H11">
        <v>15000</v>
      </c>
      <c r="I11">
        <f t="shared" si="0"/>
        <v>0</v>
      </c>
    </row>
    <row r="12" spans="1:9" x14ac:dyDescent="0.3">
      <c r="A12" s="2">
        <v>45678</v>
      </c>
      <c r="B12" s="1" t="s">
        <v>48</v>
      </c>
      <c r="C12" t="s">
        <v>49</v>
      </c>
      <c r="D12" t="s">
        <v>50</v>
      </c>
      <c r="E12" t="s">
        <v>44</v>
      </c>
      <c r="F12">
        <v>4028</v>
      </c>
      <c r="G12" t="s">
        <v>9</v>
      </c>
      <c r="H12">
        <v>15000</v>
      </c>
      <c r="I12">
        <f t="shared" si="0"/>
        <v>0</v>
      </c>
    </row>
    <row r="13" spans="1:9" x14ac:dyDescent="0.3">
      <c r="A13" s="2">
        <v>45678</v>
      </c>
      <c r="B13" s="1" t="s">
        <v>51</v>
      </c>
      <c r="C13" t="s">
        <v>52</v>
      </c>
      <c r="D13" t="s">
        <v>53</v>
      </c>
      <c r="E13" t="s">
        <v>44</v>
      </c>
      <c r="F13">
        <v>4201.6000000000004</v>
      </c>
      <c r="G13" t="s">
        <v>10</v>
      </c>
      <c r="H13">
        <v>15000</v>
      </c>
      <c r="I13">
        <f t="shared" si="0"/>
        <v>0</v>
      </c>
    </row>
    <row r="14" spans="1:9" x14ac:dyDescent="0.3">
      <c r="A14" s="2">
        <v>45678</v>
      </c>
      <c r="B14" s="1" t="s">
        <v>41</v>
      </c>
      <c r="C14" t="s">
        <v>42</v>
      </c>
      <c r="D14" t="s">
        <v>43</v>
      </c>
      <c r="E14" t="s">
        <v>44</v>
      </c>
      <c r="F14">
        <v>5532.8</v>
      </c>
      <c r="G14" t="s">
        <v>10</v>
      </c>
      <c r="H14">
        <v>15000</v>
      </c>
      <c r="I14">
        <f t="shared" si="0"/>
        <v>0</v>
      </c>
    </row>
    <row r="15" spans="1:9" x14ac:dyDescent="0.3">
      <c r="A15" s="2">
        <v>45678</v>
      </c>
      <c r="B15" s="1" t="s">
        <v>54</v>
      </c>
      <c r="C15" t="s">
        <v>55</v>
      </c>
      <c r="D15" t="s">
        <v>56</v>
      </c>
      <c r="E15" t="s">
        <v>44</v>
      </c>
      <c r="F15">
        <v>6300</v>
      </c>
      <c r="G15" t="s">
        <v>12</v>
      </c>
      <c r="H15">
        <v>15000</v>
      </c>
      <c r="I15">
        <f t="shared" si="0"/>
        <v>0</v>
      </c>
    </row>
    <row r="16" spans="1:9" x14ac:dyDescent="0.3">
      <c r="A16" s="2">
        <v>45678</v>
      </c>
      <c r="B16" s="1" t="s">
        <v>15</v>
      </c>
      <c r="C16" t="s">
        <v>16</v>
      </c>
      <c r="D16" t="s">
        <v>17</v>
      </c>
      <c r="E16" t="s">
        <v>18</v>
      </c>
      <c r="F16">
        <v>2070.3000000000002</v>
      </c>
      <c r="G16" t="s">
        <v>9</v>
      </c>
      <c r="H16">
        <v>15000</v>
      </c>
      <c r="I16">
        <f t="shared" si="0"/>
        <v>0</v>
      </c>
    </row>
    <row r="17" spans="1:9" x14ac:dyDescent="0.3">
      <c r="A17" s="2">
        <v>45678</v>
      </c>
      <c r="B17" s="1" t="s">
        <v>19</v>
      </c>
      <c r="C17" t="s">
        <v>20</v>
      </c>
      <c r="D17" t="s">
        <v>21</v>
      </c>
      <c r="E17" t="s">
        <v>18</v>
      </c>
      <c r="F17">
        <v>2311.5</v>
      </c>
      <c r="G17" t="s">
        <v>10</v>
      </c>
      <c r="H17">
        <v>15000</v>
      </c>
      <c r="I17">
        <f t="shared" si="0"/>
        <v>0</v>
      </c>
    </row>
    <row r="18" spans="1:9" x14ac:dyDescent="0.3">
      <c r="A18" s="2">
        <v>45678</v>
      </c>
      <c r="B18" s="1" t="s">
        <v>22</v>
      </c>
      <c r="C18" t="s">
        <v>23</v>
      </c>
      <c r="D18" t="s">
        <v>24</v>
      </c>
      <c r="E18" t="s">
        <v>18</v>
      </c>
      <c r="F18">
        <v>2954.7</v>
      </c>
      <c r="G18" t="s">
        <v>10</v>
      </c>
      <c r="H18">
        <v>15000</v>
      </c>
      <c r="I18">
        <f t="shared" si="0"/>
        <v>0</v>
      </c>
    </row>
    <row r="19" spans="1:9" x14ac:dyDescent="0.3">
      <c r="A19" s="2">
        <v>45678</v>
      </c>
      <c r="B19" s="1" t="s">
        <v>25</v>
      </c>
      <c r="C19" t="s">
        <v>26</v>
      </c>
      <c r="D19" t="s">
        <v>27</v>
      </c>
      <c r="E19" t="s">
        <v>18</v>
      </c>
      <c r="F19">
        <v>3013.5</v>
      </c>
      <c r="G19" t="s">
        <v>10</v>
      </c>
      <c r="H19">
        <v>15000</v>
      </c>
      <c r="I19">
        <f t="shared" si="0"/>
        <v>0</v>
      </c>
    </row>
    <row r="20" spans="1:9" x14ac:dyDescent="0.3">
      <c r="A20" s="2">
        <v>45678</v>
      </c>
      <c r="B20" s="1" t="s">
        <v>22</v>
      </c>
      <c r="C20" t="s">
        <v>23</v>
      </c>
      <c r="D20" t="s">
        <v>24</v>
      </c>
      <c r="E20" t="s">
        <v>18</v>
      </c>
      <c r="F20">
        <v>3055.2</v>
      </c>
      <c r="G20" t="s">
        <v>9</v>
      </c>
      <c r="H20">
        <v>15000</v>
      </c>
      <c r="I20">
        <f t="shared" si="0"/>
        <v>0</v>
      </c>
    </row>
    <row r="21" spans="1:9" x14ac:dyDescent="0.3">
      <c r="A21" s="2">
        <v>45678</v>
      </c>
      <c r="B21" s="1" t="s">
        <v>25</v>
      </c>
      <c r="C21" t="s">
        <v>26</v>
      </c>
      <c r="D21" t="s">
        <v>27</v>
      </c>
      <c r="E21" t="s">
        <v>18</v>
      </c>
      <c r="F21">
        <v>3243.6</v>
      </c>
      <c r="G21" t="s">
        <v>9</v>
      </c>
      <c r="H21">
        <v>15000</v>
      </c>
      <c r="I21">
        <f t="shared" si="0"/>
        <v>0</v>
      </c>
    </row>
    <row r="22" spans="1:9" x14ac:dyDescent="0.3">
      <c r="A22" s="2">
        <v>45678</v>
      </c>
      <c r="B22" s="1" t="s">
        <v>19</v>
      </c>
      <c r="C22" t="s">
        <v>20</v>
      </c>
      <c r="D22" t="s">
        <v>21</v>
      </c>
      <c r="E22" t="s">
        <v>18</v>
      </c>
      <c r="F22">
        <v>3818</v>
      </c>
      <c r="G22" t="s">
        <v>9</v>
      </c>
      <c r="H22">
        <v>15000</v>
      </c>
      <c r="I22">
        <f t="shared" si="0"/>
        <v>0</v>
      </c>
    </row>
    <row r="23" spans="1:9" x14ac:dyDescent="0.3">
      <c r="A23" s="2">
        <v>45678</v>
      </c>
      <c r="B23" s="1" t="s">
        <v>15</v>
      </c>
      <c r="C23" t="s">
        <v>16</v>
      </c>
      <c r="D23" t="s">
        <v>17</v>
      </c>
      <c r="E23" t="s">
        <v>18</v>
      </c>
      <c r="F23">
        <v>4843.3999999999996</v>
      </c>
      <c r="G23" t="s">
        <v>12</v>
      </c>
      <c r="H23">
        <v>15000</v>
      </c>
      <c r="I23">
        <f t="shared" si="0"/>
        <v>0</v>
      </c>
    </row>
    <row r="24" spans="1:9" x14ac:dyDescent="0.3">
      <c r="A24" s="2">
        <v>45678</v>
      </c>
      <c r="B24" s="1" t="s">
        <v>19</v>
      </c>
      <c r="C24" t="s">
        <v>20</v>
      </c>
      <c r="D24" t="s">
        <v>21</v>
      </c>
      <c r="E24" t="s">
        <v>18</v>
      </c>
      <c r="F24">
        <v>5130</v>
      </c>
      <c r="G24" t="s">
        <v>10</v>
      </c>
      <c r="H24">
        <v>15000</v>
      </c>
      <c r="I24">
        <f t="shared" si="0"/>
        <v>0</v>
      </c>
    </row>
    <row r="25" spans="1:9" x14ac:dyDescent="0.3">
      <c r="A25" s="2">
        <v>45678</v>
      </c>
      <c r="B25" s="1" t="s">
        <v>19</v>
      </c>
      <c r="C25" t="s">
        <v>20</v>
      </c>
      <c r="D25" t="s">
        <v>21</v>
      </c>
      <c r="E25" t="s">
        <v>18</v>
      </c>
      <c r="F25">
        <v>5215.2</v>
      </c>
      <c r="G25" t="s">
        <v>12</v>
      </c>
      <c r="H25">
        <v>15000</v>
      </c>
      <c r="I25">
        <f t="shared" si="0"/>
        <v>0</v>
      </c>
    </row>
    <row r="26" spans="1:9" x14ac:dyDescent="0.3">
      <c r="A26" s="2">
        <v>45678</v>
      </c>
      <c r="B26" s="1" t="s">
        <v>25</v>
      </c>
      <c r="C26" t="s">
        <v>26</v>
      </c>
      <c r="D26" t="s">
        <v>27</v>
      </c>
      <c r="E26" t="s">
        <v>18</v>
      </c>
      <c r="F26">
        <v>5287.5</v>
      </c>
      <c r="G26" t="s">
        <v>10</v>
      </c>
      <c r="H26">
        <v>15000</v>
      </c>
      <c r="I26">
        <f t="shared" si="0"/>
        <v>0</v>
      </c>
    </row>
    <row r="27" spans="1:9" x14ac:dyDescent="0.3">
      <c r="A27" s="2">
        <v>45678</v>
      </c>
      <c r="B27" s="1" t="s">
        <v>15</v>
      </c>
      <c r="C27" t="s">
        <v>16</v>
      </c>
      <c r="D27" t="s">
        <v>17</v>
      </c>
      <c r="E27" t="s">
        <v>18</v>
      </c>
      <c r="F27">
        <v>5572.3</v>
      </c>
      <c r="G27" t="s">
        <v>9</v>
      </c>
      <c r="H27">
        <v>15000</v>
      </c>
      <c r="I27">
        <f t="shared" si="0"/>
        <v>0</v>
      </c>
    </row>
    <row r="28" spans="1:9" x14ac:dyDescent="0.3">
      <c r="A28" s="2">
        <v>45678</v>
      </c>
      <c r="B28" s="1" t="s">
        <v>66</v>
      </c>
      <c r="C28" t="s">
        <v>74</v>
      </c>
      <c r="D28" t="s">
        <v>67</v>
      </c>
      <c r="E28" t="s">
        <v>8</v>
      </c>
      <c r="F28">
        <v>900.48</v>
      </c>
      <c r="G28" t="s">
        <v>9</v>
      </c>
      <c r="H28">
        <v>15000</v>
      </c>
      <c r="I28">
        <f t="shared" si="0"/>
        <v>0</v>
      </c>
    </row>
    <row r="29" spans="1:9" x14ac:dyDescent="0.3">
      <c r="A29" s="2">
        <v>45678</v>
      </c>
      <c r="B29" s="1" t="s">
        <v>66</v>
      </c>
      <c r="C29" t="s">
        <v>74</v>
      </c>
      <c r="D29" t="s">
        <v>67</v>
      </c>
      <c r="E29" t="s">
        <v>8</v>
      </c>
      <c r="F29">
        <v>4224.91</v>
      </c>
      <c r="G29" t="s">
        <v>10</v>
      </c>
      <c r="H29">
        <v>15000</v>
      </c>
      <c r="I29">
        <f t="shared" si="0"/>
        <v>0</v>
      </c>
    </row>
    <row r="30" spans="1:9" x14ac:dyDescent="0.3">
      <c r="A30" s="2">
        <v>45678</v>
      </c>
      <c r="B30" s="1" t="s">
        <v>64</v>
      </c>
      <c r="C30" t="s">
        <v>11</v>
      </c>
      <c r="D30" t="s">
        <v>65</v>
      </c>
      <c r="E30" t="s">
        <v>8</v>
      </c>
      <c r="F30">
        <v>2399.7600000000002</v>
      </c>
      <c r="G30" t="s">
        <v>9</v>
      </c>
      <c r="H30">
        <v>15000</v>
      </c>
      <c r="I30">
        <f t="shared" si="0"/>
        <v>0</v>
      </c>
    </row>
    <row r="31" spans="1:9" x14ac:dyDescent="0.3">
      <c r="A31" s="2">
        <v>45678</v>
      </c>
      <c r="B31" s="1" t="s">
        <v>66</v>
      </c>
      <c r="C31" t="s">
        <v>74</v>
      </c>
      <c r="D31" t="s">
        <v>67</v>
      </c>
      <c r="E31" t="s">
        <v>8</v>
      </c>
      <c r="F31">
        <v>2791.64</v>
      </c>
      <c r="G31" t="s">
        <v>12</v>
      </c>
      <c r="H31">
        <v>15000</v>
      </c>
      <c r="I31">
        <f t="shared" si="0"/>
        <v>0</v>
      </c>
    </row>
    <row r="32" spans="1:9" x14ac:dyDescent="0.3">
      <c r="A32" s="2">
        <v>45678</v>
      </c>
      <c r="B32" s="1" t="s">
        <v>62</v>
      </c>
      <c r="C32" t="s">
        <v>13</v>
      </c>
      <c r="D32" t="s">
        <v>63</v>
      </c>
      <c r="E32" t="s">
        <v>8</v>
      </c>
      <c r="F32">
        <v>2071.7600000000002</v>
      </c>
      <c r="G32" t="s">
        <v>10</v>
      </c>
      <c r="H32">
        <v>15000</v>
      </c>
      <c r="I32">
        <f t="shared" si="0"/>
        <v>0</v>
      </c>
    </row>
    <row r="33" spans="1:9" x14ac:dyDescent="0.3">
      <c r="A33" s="2">
        <v>45678</v>
      </c>
      <c r="B33" s="1" t="s">
        <v>64</v>
      </c>
      <c r="C33" t="s">
        <v>11</v>
      </c>
      <c r="D33" t="s">
        <v>65</v>
      </c>
      <c r="E33" t="s">
        <v>8</v>
      </c>
      <c r="F33">
        <v>1983.64</v>
      </c>
      <c r="G33" t="s">
        <v>9</v>
      </c>
      <c r="H33">
        <v>15000</v>
      </c>
      <c r="I33">
        <f t="shared" si="0"/>
        <v>0</v>
      </c>
    </row>
    <row r="34" spans="1:9" x14ac:dyDescent="0.3">
      <c r="A34" s="2">
        <v>45678</v>
      </c>
      <c r="B34" s="1" t="s">
        <v>64</v>
      </c>
      <c r="C34" t="s">
        <v>11</v>
      </c>
      <c r="D34" t="s">
        <v>65</v>
      </c>
      <c r="E34" t="s">
        <v>8</v>
      </c>
      <c r="F34">
        <v>1961.75</v>
      </c>
      <c r="G34" t="s">
        <v>12</v>
      </c>
      <c r="H34">
        <v>15000</v>
      </c>
      <c r="I34">
        <f t="shared" si="0"/>
        <v>0</v>
      </c>
    </row>
    <row r="35" spans="1:9" x14ac:dyDescent="0.3">
      <c r="A35" s="2">
        <v>45678</v>
      </c>
      <c r="B35" s="1" t="s">
        <v>64</v>
      </c>
      <c r="C35" t="s">
        <v>11</v>
      </c>
      <c r="D35" t="s">
        <v>65</v>
      </c>
      <c r="E35" t="s">
        <v>8</v>
      </c>
      <c r="F35">
        <v>1882.64</v>
      </c>
      <c r="G35" t="s">
        <v>12</v>
      </c>
      <c r="H35">
        <v>15000</v>
      </c>
      <c r="I35">
        <f t="shared" si="0"/>
        <v>0</v>
      </c>
    </row>
    <row r="36" spans="1:9" x14ac:dyDescent="0.3">
      <c r="A36" s="2">
        <v>45678</v>
      </c>
      <c r="B36" s="1" t="s">
        <v>60</v>
      </c>
      <c r="C36" t="s">
        <v>14</v>
      </c>
      <c r="D36" t="s">
        <v>61</v>
      </c>
      <c r="E36" t="s">
        <v>8</v>
      </c>
      <c r="F36">
        <v>2336.4</v>
      </c>
      <c r="G36" t="s">
        <v>10</v>
      </c>
      <c r="H36">
        <v>15000</v>
      </c>
      <c r="I36">
        <f t="shared" si="0"/>
        <v>0</v>
      </c>
    </row>
    <row r="37" spans="1:9" x14ac:dyDescent="0.3">
      <c r="A37" s="2">
        <v>45682</v>
      </c>
      <c r="B37" s="1" t="s">
        <v>45</v>
      </c>
      <c r="C37" t="s">
        <v>46</v>
      </c>
      <c r="D37" t="s">
        <v>47</v>
      </c>
      <c r="E37" t="s">
        <v>44</v>
      </c>
      <c r="F37">
        <v>6544.8</v>
      </c>
      <c r="G37" t="s">
        <v>9</v>
      </c>
      <c r="H37">
        <v>15000</v>
      </c>
      <c r="I37">
        <f t="shared" si="0"/>
        <v>0</v>
      </c>
    </row>
    <row r="38" spans="1:9" x14ac:dyDescent="0.3">
      <c r="A38" s="2">
        <v>45682</v>
      </c>
      <c r="B38" s="1" t="s">
        <v>68</v>
      </c>
      <c r="C38" t="s">
        <v>69</v>
      </c>
      <c r="D38" t="s">
        <v>70</v>
      </c>
      <c r="E38" t="s">
        <v>18</v>
      </c>
      <c r="F38">
        <v>6796.8</v>
      </c>
      <c r="G38" t="s">
        <v>9</v>
      </c>
      <c r="H38">
        <v>15000</v>
      </c>
      <c r="I38">
        <f t="shared" si="0"/>
        <v>0</v>
      </c>
    </row>
    <row r="39" spans="1:9" x14ac:dyDescent="0.3">
      <c r="A39" s="2">
        <v>45682</v>
      </c>
      <c r="B39" s="1" t="s">
        <v>68</v>
      </c>
      <c r="C39" t="s">
        <v>69</v>
      </c>
      <c r="D39" t="s">
        <v>70</v>
      </c>
      <c r="E39" t="s">
        <v>18</v>
      </c>
      <c r="F39">
        <v>7029.9</v>
      </c>
      <c r="G39" t="s">
        <v>12</v>
      </c>
      <c r="H39">
        <v>15000</v>
      </c>
      <c r="I39">
        <f t="shared" si="0"/>
        <v>0</v>
      </c>
    </row>
    <row r="40" spans="1:9" x14ac:dyDescent="0.3">
      <c r="A40" s="2">
        <v>45682</v>
      </c>
      <c r="B40" s="1" t="s">
        <v>22</v>
      </c>
      <c r="C40" t="s">
        <v>23</v>
      </c>
      <c r="D40" t="s">
        <v>24</v>
      </c>
      <c r="E40" t="s">
        <v>18</v>
      </c>
      <c r="F40">
        <v>7199.7</v>
      </c>
      <c r="G40" t="s">
        <v>12</v>
      </c>
      <c r="H40">
        <v>15000</v>
      </c>
      <c r="I40">
        <f t="shared" si="0"/>
        <v>0</v>
      </c>
    </row>
    <row r="41" spans="1:9" x14ac:dyDescent="0.3">
      <c r="A41" s="2">
        <v>45682</v>
      </c>
      <c r="B41" s="1" t="s">
        <v>22</v>
      </c>
      <c r="C41" t="s">
        <v>23</v>
      </c>
      <c r="D41" t="s">
        <v>24</v>
      </c>
      <c r="E41" t="s">
        <v>18</v>
      </c>
      <c r="F41">
        <v>7497</v>
      </c>
      <c r="G41" t="s">
        <v>10</v>
      </c>
      <c r="H41">
        <v>15000</v>
      </c>
      <c r="I41">
        <f t="shared" si="0"/>
        <v>0</v>
      </c>
    </row>
    <row r="42" spans="1:9" x14ac:dyDescent="0.3">
      <c r="A42" s="2">
        <v>45682</v>
      </c>
      <c r="B42" s="1" t="s">
        <v>57</v>
      </c>
      <c r="C42" t="s">
        <v>58</v>
      </c>
      <c r="D42" t="s">
        <v>59</v>
      </c>
      <c r="E42" t="s">
        <v>8</v>
      </c>
      <c r="F42">
        <v>2997.2</v>
      </c>
      <c r="G42" t="s">
        <v>9</v>
      </c>
      <c r="H42">
        <v>15000</v>
      </c>
      <c r="I42">
        <f t="shared" si="0"/>
        <v>0</v>
      </c>
    </row>
    <row r="43" spans="1:9" x14ac:dyDescent="0.3">
      <c r="A43" s="2">
        <v>45682</v>
      </c>
      <c r="B43" s="1" t="s">
        <v>60</v>
      </c>
      <c r="C43" t="s">
        <v>14</v>
      </c>
      <c r="D43" t="s">
        <v>61</v>
      </c>
      <c r="E43" t="s">
        <v>8</v>
      </c>
      <c r="F43">
        <v>3465</v>
      </c>
      <c r="G43" t="s">
        <v>10</v>
      </c>
      <c r="H43">
        <v>15000</v>
      </c>
      <c r="I43">
        <f t="shared" si="0"/>
        <v>0</v>
      </c>
    </row>
    <row r="44" spans="1:9" x14ac:dyDescent="0.3">
      <c r="A44" s="2">
        <v>45682</v>
      </c>
      <c r="B44" s="1" t="s">
        <v>62</v>
      </c>
      <c r="C44" t="s">
        <v>13</v>
      </c>
      <c r="D44" t="s">
        <v>63</v>
      </c>
      <c r="E44" t="s">
        <v>8</v>
      </c>
      <c r="F44">
        <v>3760.5</v>
      </c>
      <c r="G44" t="s">
        <v>9</v>
      </c>
      <c r="H44">
        <v>15000</v>
      </c>
      <c r="I44">
        <f t="shared" si="0"/>
        <v>0</v>
      </c>
    </row>
    <row r="45" spans="1:9" x14ac:dyDescent="0.3">
      <c r="A45" s="2">
        <v>45682</v>
      </c>
      <c r="B45" s="1" t="s">
        <v>62</v>
      </c>
      <c r="C45" t="s">
        <v>13</v>
      </c>
      <c r="D45" t="s">
        <v>63</v>
      </c>
      <c r="E45" t="s">
        <v>8</v>
      </c>
      <c r="F45">
        <v>4322.8</v>
      </c>
      <c r="G45" t="s">
        <v>12</v>
      </c>
      <c r="H45">
        <v>15000</v>
      </c>
      <c r="I45">
        <f t="shared" si="0"/>
        <v>0</v>
      </c>
    </row>
    <row r="46" spans="1:9" x14ac:dyDescent="0.3">
      <c r="A46" s="2">
        <v>45682</v>
      </c>
      <c r="B46" s="1" t="s">
        <v>57</v>
      </c>
      <c r="C46" t="s">
        <v>58</v>
      </c>
      <c r="D46" t="s">
        <v>59</v>
      </c>
      <c r="E46" t="s">
        <v>8</v>
      </c>
      <c r="F46">
        <v>4531</v>
      </c>
      <c r="G46" t="s">
        <v>12</v>
      </c>
      <c r="H46">
        <v>15000</v>
      </c>
      <c r="I46">
        <f t="shared" si="0"/>
        <v>0</v>
      </c>
    </row>
    <row r="47" spans="1:9" x14ac:dyDescent="0.3">
      <c r="A47" s="2">
        <v>45682</v>
      </c>
      <c r="B47" s="1" t="s">
        <v>64</v>
      </c>
      <c r="C47" t="s">
        <v>11</v>
      </c>
      <c r="D47" t="s">
        <v>65</v>
      </c>
      <c r="E47" t="s">
        <v>8</v>
      </c>
      <c r="F47">
        <v>5332.8</v>
      </c>
      <c r="G47" t="s">
        <v>10</v>
      </c>
      <c r="H47">
        <v>15000</v>
      </c>
      <c r="I47">
        <f t="shared" si="0"/>
        <v>0</v>
      </c>
    </row>
    <row r="48" spans="1:9" x14ac:dyDescent="0.3">
      <c r="A48" s="2">
        <v>45682</v>
      </c>
      <c r="B48" s="1" t="s">
        <v>64</v>
      </c>
      <c r="C48" t="s">
        <v>11</v>
      </c>
      <c r="D48" t="s">
        <v>65</v>
      </c>
      <c r="E48" t="s">
        <v>8</v>
      </c>
      <c r="F48">
        <v>5696.4</v>
      </c>
      <c r="G48" t="s">
        <v>9</v>
      </c>
      <c r="H48">
        <v>15000</v>
      </c>
      <c r="I48">
        <f t="shared" si="0"/>
        <v>0</v>
      </c>
    </row>
    <row r="49" spans="1:9" x14ac:dyDescent="0.3">
      <c r="A49" s="2">
        <v>45682</v>
      </c>
      <c r="B49" s="1" t="s">
        <v>66</v>
      </c>
      <c r="C49" t="s">
        <v>7</v>
      </c>
      <c r="D49" t="s">
        <v>67</v>
      </c>
      <c r="E49" t="s">
        <v>8</v>
      </c>
      <c r="F49">
        <v>6708.9</v>
      </c>
      <c r="G49" t="s">
        <v>12</v>
      </c>
      <c r="H49">
        <v>15000</v>
      </c>
      <c r="I49">
        <f t="shared" si="0"/>
        <v>0</v>
      </c>
    </row>
    <row r="50" spans="1:9" x14ac:dyDescent="0.3">
      <c r="A50" s="2">
        <v>45709</v>
      </c>
      <c r="B50" s="1" t="s">
        <v>28</v>
      </c>
      <c r="C50" t="s">
        <v>29</v>
      </c>
      <c r="D50" t="s">
        <v>30</v>
      </c>
      <c r="E50" t="s">
        <v>31</v>
      </c>
      <c r="F50">
        <v>7024.2</v>
      </c>
      <c r="G50" t="s">
        <v>12</v>
      </c>
      <c r="H50">
        <v>15000</v>
      </c>
      <c r="I50">
        <f t="shared" si="0"/>
        <v>0</v>
      </c>
    </row>
    <row r="51" spans="1:9" x14ac:dyDescent="0.3">
      <c r="A51" s="2">
        <v>45709</v>
      </c>
      <c r="B51" s="1" t="s">
        <v>38</v>
      </c>
      <c r="C51" t="s">
        <v>39</v>
      </c>
      <c r="D51" t="s">
        <v>40</v>
      </c>
      <c r="E51" t="s">
        <v>31</v>
      </c>
      <c r="F51">
        <v>7139</v>
      </c>
      <c r="G51" t="s">
        <v>9</v>
      </c>
      <c r="H51">
        <v>15000</v>
      </c>
      <c r="I51">
        <f t="shared" si="0"/>
        <v>0</v>
      </c>
    </row>
    <row r="52" spans="1:9" x14ac:dyDescent="0.3">
      <c r="A52" s="2">
        <v>45709</v>
      </c>
      <c r="B52" s="1" t="s">
        <v>32</v>
      </c>
      <c r="C52" t="s">
        <v>33</v>
      </c>
      <c r="D52" t="s">
        <v>34</v>
      </c>
      <c r="E52" t="s">
        <v>31</v>
      </c>
      <c r="F52">
        <v>7289.6</v>
      </c>
      <c r="G52" t="s">
        <v>9</v>
      </c>
      <c r="H52">
        <v>15000</v>
      </c>
      <c r="I52">
        <f t="shared" si="0"/>
        <v>0</v>
      </c>
    </row>
    <row r="53" spans="1:9" x14ac:dyDescent="0.3">
      <c r="A53" s="2">
        <v>45709</v>
      </c>
      <c r="B53" s="1" t="s">
        <v>38</v>
      </c>
      <c r="C53" t="s">
        <v>39</v>
      </c>
      <c r="D53" t="s">
        <v>40</v>
      </c>
      <c r="E53" t="s">
        <v>31</v>
      </c>
      <c r="F53">
        <v>7416.9</v>
      </c>
      <c r="G53" t="s">
        <v>12</v>
      </c>
      <c r="H53">
        <v>15000</v>
      </c>
      <c r="I53">
        <f t="shared" si="0"/>
        <v>0</v>
      </c>
    </row>
    <row r="54" spans="1:9" x14ac:dyDescent="0.3">
      <c r="A54" s="2">
        <v>45709</v>
      </c>
      <c r="B54" s="1" t="s">
        <v>32</v>
      </c>
      <c r="C54" t="s">
        <v>33</v>
      </c>
      <c r="D54" t="s">
        <v>34</v>
      </c>
      <c r="E54" t="s">
        <v>31</v>
      </c>
      <c r="F54">
        <v>7582</v>
      </c>
      <c r="G54" t="s">
        <v>9</v>
      </c>
      <c r="H54">
        <v>15000</v>
      </c>
      <c r="I54">
        <f t="shared" si="0"/>
        <v>0</v>
      </c>
    </row>
    <row r="55" spans="1:9" x14ac:dyDescent="0.3">
      <c r="A55" s="2">
        <v>45709</v>
      </c>
      <c r="B55" s="1" t="s">
        <v>35</v>
      </c>
      <c r="C55" t="s">
        <v>36</v>
      </c>
      <c r="D55" t="s">
        <v>37</v>
      </c>
      <c r="E55" t="s">
        <v>31</v>
      </c>
      <c r="F55">
        <v>7721.6</v>
      </c>
      <c r="G55" t="s">
        <v>9</v>
      </c>
      <c r="H55">
        <v>15000</v>
      </c>
      <c r="I55">
        <f t="shared" si="0"/>
        <v>0</v>
      </c>
    </row>
    <row r="56" spans="1:9" x14ac:dyDescent="0.3">
      <c r="A56" s="2">
        <v>45709</v>
      </c>
      <c r="B56" s="1" t="s">
        <v>45</v>
      </c>
      <c r="C56" t="s">
        <v>46</v>
      </c>
      <c r="D56" t="s">
        <v>47</v>
      </c>
      <c r="E56" t="s">
        <v>44</v>
      </c>
      <c r="F56">
        <v>6804</v>
      </c>
      <c r="G56" t="s">
        <v>9</v>
      </c>
      <c r="H56">
        <v>15000</v>
      </c>
      <c r="I56">
        <f t="shared" si="0"/>
        <v>0</v>
      </c>
    </row>
    <row r="57" spans="1:9" x14ac:dyDescent="0.3">
      <c r="A57" s="2">
        <v>45709</v>
      </c>
      <c r="B57" s="1" t="s">
        <v>48</v>
      </c>
      <c r="C57" t="s">
        <v>49</v>
      </c>
      <c r="D57" t="s">
        <v>50</v>
      </c>
      <c r="E57" t="s">
        <v>44</v>
      </c>
      <c r="F57">
        <v>6872.8</v>
      </c>
      <c r="G57" t="s">
        <v>9</v>
      </c>
      <c r="H57">
        <v>15000</v>
      </c>
      <c r="I57">
        <f t="shared" si="0"/>
        <v>0</v>
      </c>
    </row>
    <row r="58" spans="1:9" x14ac:dyDescent="0.3">
      <c r="A58" s="2">
        <v>45709</v>
      </c>
      <c r="B58" s="1" t="s">
        <v>54</v>
      </c>
      <c r="C58" t="s">
        <v>55</v>
      </c>
      <c r="D58" t="s">
        <v>56</v>
      </c>
      <c r="E58" t="s">
        <v>44</v>
      </c>
      <c r="F58">
        <v>6960</v>
      </c>
      <c r="G58" t="s">
        <v>12</v>
      </c>
      <c r="H58">
        <v>15000</v>
      </c>
      <c r="I58">
        <f t="shared" si="0"/>
        <v>0</v>
      </c>
    </row>
    <row r="59" spans="1:9" x14ac:dyDescent="0.3">
      <c r="A59" s="2">
        <v>45709</v>
      </c>
      <c r="B59" s="1" t="s">
        <v>48</v>
      </c>
      <c r="C59" t="s">
        <v>49</v>
      </c>
      <c r="D59" t="s">
        <v>50</v>
      </c>
      <c r="E59" t="s">
        <v>44</v>
      </c>
      <c r="F59">
        <v>7008</v>
      </c>
      <c r="G59" t="s">
        <v>12</v>
      </c>
      <c r="H59">
        <v>15000</v>
      </c>
      <c r="I59">
        <f t="shared" si="0"/>
        <v>0</v>
      </c>
    </row>
    <row r="60" spans="1:9" x14ac:dyDescent="0.3">
      <c r="A60" s="2">
        <v>45709</v>
      </c>
      <c r="B60" s="1" t="s">
        <v>51</v>
      </c>
      <c r="C60" t="s">
        <v>52</v>
      </c>
      <c r="D60" t="s">
        <v>53</v>
      </c>
      <c r="E60" t="s">
        <v>44</v>
      </c>
      <c r="F60">
        <v>7221.6</v>
      </c>
      <c r="G60" t="s">
        <v>12</v>
      </c>
      <c r="H60">
        <v>15000</v>
      </c>
      <c r="I60">
        <f t="shared" si="0"/>
        <v>0</v>
      </c>
    </row>
    <row r="61" spans="1:9" x14ac:dyDescent="0.3">
      <c r="A61" s="2">
        <v>45709</v>
      </c>
      <c r="B61" s="1" t="s">
        <v>25</v>
      </c>
      <c r="C61" t="s">
        <v>26</v>
      </c>
      <c r="D61" t="s">
        <v>27</v>
      </c>
      <c r="E61" t="s">
        <v>18</v>
      </c>
      <c r="F61">
        <v>7717.5</v>
      </c>
      <c r="G61" t="s">
        <v>12</v>
      </c>
      <c r="H61">
        <v>15000</v>
      </c>
      <c r="I61">
        <f t="shared" si="0"/>
        <v>0</v>
      </c>
    </row>
    <row r="62" spans="1:9" x14ac:dyDescent="0.3">
      <c r="A62" s="2">
        <v>45709</v>
      </c>
      <c r="B62" s="1" t="s">
        <v>68</v>
      </c>
      <c r="C62" t="s">
        <v>69</v>
      </c>
      <c r="D62" t="s">
        <v>70</v>
      </c>
      <c r="E62" t="s">
        <v>18</v>
      </c>
      <c r="F62">
        <v>8188</v>
      </c>
      <c r="G62" t="s">
        <v>12</v>
      </c>
      <c r="H62">
        <v>15000</v>
      </c>
      <c r="I62">
        <f t="shared" si="0"/>
        <v>0</v>
      </c>
    </row>
    <row r="63" spans="1:9" x14ac:dyDescent="0.3">
      <c r="A63" s="2">
        <v>45709</v>
      </c>
      <c r="B63" s="1" t="s">
        <v>68</v>
      </c>
      <c r="C63" t="s">
        <v>69</v>
      </c>
      <c r="D63" t="s">
        <v>70</v>
      </c>
      <c r="E63" t="s">
        <v>18</v>
      </c>
      <c r="F63">
        <v>8625</v>
      </c>
      <c r="G63" t="s">
        <v>10</v>
      </c>
      <c r="H63">
        <v>15000</v>
      </c>
      <c r="I63">
        <f t="shared" si="0"/>
        <v>0</v>
      </c>
    </row>
    <row r="64" spans="1:9" x14ac:dyDescent="0.3">
      <c r="A64" s="2">
        <v>45709</v>
      </c>
      <c r="B64" s="1" t="s">
        <v>22</v>
      </c>
      <c r="C64" t="s">
        <v>23</v>
      </c>
      <c r="D64" t="s">
        <v>24</v>
      </c>
      <c r="E64" t="s">
        <v>18</v>
      </c>
      <c r="F64">
        <v>8683.2000000000007</v>
      </c>
      <c r="G64" t="s">
        <v>10</v>
      </c>
      <c r="H64">
        <v>15000</v>
      </c>
      <c r="I64">
        <f t="shared" si="0"/>
        <v>0</v>
      </c>
    </row>
    <row r="65" spans="1:9" x14ac:dyDescent="0.3">
      <c r="A65" s="2">
        <v>45709</v>
      </c>
      <c r="B65" s="1" t="s">
        <v>19</v>
      </c>
      <c r="C65" t="s">
        <v>20</v>
      </c>
      <c r="D65" t="s">
        <v>21</v>
      </c>
      <c r="E65" t="s">
        <v>18</v>
      </c>
      <c r="F65">
        <v>8686.6</v>
      </c>
      <c r="G65" t="s">
        <v>10</v>
      </c>
      <c r="H65">
        <v>15000</v>
      </c>
      <c r="I65">
        <f t="shared" si="0"/>
        <v>0</v>
      </c>
    </row>
    <row r="66" spans="1:9" x14ac:dyDescent="0.3">
      <c r="A66" s="2">
        <v>45709</v>
      </c>
      <c r="B66" s="1" t="s">
        <v>60</v>
      </c>
      <c r="C66" t="s">
        <v>14</v>
      </c>
      <c r="D66" t="s">
        <v>61</v>
      </c>
      <c r="E66" t="s">
        <v>8</v>
      </c>
      <c r="F66">
        <v>6751.8</v>
      </c>
      <c r="G66" t="s">
        <v>10</v>
      </c>
      <c r="H66">
        <v>15000</v>
      </c>
      <c r="I66">
        <f t="shared" si="0"/>
        <v>0</v>
      </c>
    </row>
    <row r="67" spans="1:9" x14ac:dyDescent="0.3">
      <c r="A67" s="2">
        <v>45709</v>
      </c>
      <c r="B67" s="1" t="s">
        <v>64</v>
      </c>
      <c r="C67" t="s">
        <v>11</v>
      </c>
      <c r="D67" t="s">
        <v>65</v>
      </c>
      <c r="E67" t="s">
        <v>8</v>
      </c>
      <c r="F67">
        <v>6900</v>
      </c>
      <c r="G67" t="s">
        <v>10</v>
      </c>
      <c r="H67">
        <v>15000</v>
      </c>
      <c r="I67">
        <f t="shared" ref="I67:I130" si="1">IF(F67&gt;=H67,0.1*F67,0)</f>
        <v>0</v>
      </c>
    </row>
    <row r="68" spans="1:9" x14ac:dyDescent="0.3">
      <c r="A68" s="2">
        <v>45709</v>
      </c>
      <c r="B68" s="1" t="s">
        <v>57</v>
      </c>
      <c r="C68" t="s">
        <v>58</v>
      </c>
      <c r="D68" t="s">
        <v>59</v>
      </c>
      <c r="E68" t="s">
        <v>8</v>
      </c>
      <c r="F68">
        <v>6945.4</v>
      </c>
      <c r="G68" t="s">
        <v>12</v>
      </c>
      <c r="H68">
        <v>15000</v>
      </c>
      <c r="I68">
        <f t="shared" si="1"/>
        <v>0</v>
      </c>
    </row>
    <row r="69" spans="1:9" x14ac:dyDescent="0.3">
      <c r="A69" s="2">
        <v>45709</v>
      </c>
      <c r="B69" s="1" t="s">
        <v>66</v>
      </c>
      <c r="C69" t="s">
        <v>7</v>
      </c>
      <c r="D69" t="s">
        <v>67</v>
      </c>
      <c r="E69" t="s">
        <v>8</v>
      </c>
      <c r="F69">
        <v>7009.2</v>
      </c>
      <c r="G69" t="s">
        <v>10</v>
      </c>
      <c r="H69">
        <v>15000</v>
      </c>
      <c r="I69">
        <f t="shared" si="1"/>
        <v>0</v>
      </c>
    </row>
    <row r="70" spans="1:9" x14ac:dyDescent="0.3">
      <c r="A70" s="2">
        <v>45709</v>
      </c>
      <c r="B70" s="1" t="s">
        <v>64</v>
      </c>
      <c r="C70" t="s">
        <v>11</v>
      </c>
      <c r="D70" t="s">
        <v>65</v>
      </c>
      <c r="E70" t="s">
        <v>8</v>
      </c>
      <c r="F70">
        <v>7088.9</v>
      </c>
      <c r="G70" t="s">
        <v>9</v>
      </c>
      <c r="H70">
        <v>15000</v>
      </c>
      <c r="I70">
        <f t="shared" si="1"/>
        <v>0</v>
      </c>
    </row>
    <row r="71" spans="1:9" x14ac:dyDescent="0.3">
      <c r="A71" s="2">
        <v>45709</v>
      </c>
      <c r="B71" s="1" t="s">
        <v>60</v>
      </c>
      <c r="C71" t="s">
        <v>14</v>
      </c>
      <c r="D71" t="s">
        <v>61</v>
      </c>
      <c r="E71" t="s">
        <v>8</v>
      </c>
      <c r="F71">
        <v>7196</v>
      </c>
      <c r="G71" t="s">
        <v>10</v>
      </c>
      <c r="H71">
        <v>15000</v>
      </c>
      <c r="I71">
        <f t="shared" si="1"/>
        <v>0</v>
      </c>
    </row>
    <row r="72" spans="1:9" x14ac:dyDescent="0.3">
      <c r="A72" s="2">
        <v>45709</v>
      </c>
      <c r="B72" s="1" t="s">
        <v>57</v>
      </c>
      <c r="C72" t="s">
        <v>58</v>
      </c>
      <c r="D72" t="s">
        <v>59</v>
      </c>
      <c r="E72" t="s">
        <v>8</v>
      </c>
      <c r="F72">
        <v>7343.2</v>
      </c>
      <c r="G72" t="s">
        <v>10</v>
      </c>
      <c r="H72">
        <v>15000</v>
      </c>
      <c r="I72">
        <f t="shared" si="1"/>
        <v>0</v>
      </c>
    </row>
    <row r="73" spans="1:9" x14ac:dyDescent="0.3">
      <c r="A73" s="2">
        <v>45709</v>
      </c>
      <c r="B73" s="1" t="s">
        <v>57</v>
      </c>
      <c r="C73" t="s">
        <v>58</v>
      </c>
      <c r="D73" t="s">
        <v>59</v>
      </c>
      <c r="E73" t="s">
        <v>8</v>
      </c>
      <c r="F73">
        <v>7356.6</v>
      </c>
      <c r="G73" t="s">
        <v>9</v>
      </c>
      <c r="H73">
        <v>15000</v>
      </c>
      <c r="I73">
        <f t="shared" si="1"/>
        <v>0</v>
      </c>
    </row>
    <row r="74" spans="1:9" x14ac:dyDescent="0.3">
      <c r="A74" s="2">
        <v>45709</v>
      </c>
      <c r="B74" s="1" t="s">
        <v>57</v>
      </c>
      <c r="C74" t="s">
        <v>58</v>
      </c>
      <c r="D74" t="s">
        <v>59</v>
      </c>
      <c r="E74" t="s">
        <v>8</v>
      </c>
      <c r="F74">
        <v>7658.2</v>
      </c>
      <c r="G74" t="s">
        <v>12</v>
      </c>
      <c r="H74">
        <v>15000</v>
      </c>
      <c r="I74">
        <f t="shared" si="1"/>
        <v>0</v>
      </c>
    </row>
    <row r="75" spans="1:9" x14ac:dyDescent="0.3">
      <c r="A75" s="2">
        <v>45709</v>
      </c>
      <c r="B75" s="1" t="s">
        <v>62</v>
      </c>
      <c r="C75" t="s">
        <v>13</v>
      </c>
      <c r="D75" t="s">
        <v>63</v>
      </c>
      <c r="E75" t="s">
        <v>8</v>
      </c>
      <c r="F75">
        <v>7658.6</v>
      </c>
      <c r="G75" t="s">
        <v>10</v>
      </c>
      <c r="H75">
        <v>15000</v>
      </c>
      <c r="I75">
        <f t="shared" si="1"/>
        <v>0</v>
      </c>
    </row>
    <row r="76" spans="1:9" x14ac:dyDescent="0.3">
      <c r="A76" s="2">
        <v>45709</v>
      </c>
      <c r="B76" s="1" t="s">
        <v>60</v>
      </c>
      <c r="C76" t="s">
        <v>14</v>
      </c>
      <c r="D76" t="s">
        <v>61</v>
      </c>
      <c r="E76" t="s">
        <v>8</v>
      </c>
      <c r="F76">
        <v>7714</v>
      </c>
      <c r="G76" t="s">
        <v>9</v>
      </c>
      <c r="H76">
        <v>15000</v>
      </c>
      <c r="I76">
        <f t="shared" si="1"/>
        <v>0</v>
      </c>
    </row>
    <row r="77" spans="1:9" x14ac:dyDescent="0.3">
      <c r="A77" s="2">
        <v>45709</v>
      </c>
      <c r="B77" s="1" t="s">
        <v>64</v>
      </c>
      <c r="C77" t="s">
        <v>11</v>
      </c>
      <c r="D77" t="s">
        <v>65</v>
      </c>
      <c r="E77" t="s">
        <v>8</v>
      </c>
      <c r="F77">
        <v>7982.7</v>
      </c>
      <c r="G77" t="s">
        <v>12</v>
      </c>
      <c r="H77">
        <v>15000</v>
      </c>
      <c r="I77">
        <f t="shared" si="1"/>
        <v>0</v>
      </c>
    </row>
    <row r="78" spans="1:9" x14ac:dyDescent="0.3">
      <c r="A78" s="2">
        <v>45713</v>
      </c>
      <c r="B78" s="1" t="s">
        <v>71</v>
      </c>
      <c r="C78" t="s">
        <v>72</v>
      </c>
      <c r="D78" t="s">
        <v>73</v>
      </c>
      <c r="E78" t="s">
        <v>31</v>
      </c>
      <c r="F78">
        <v>8001</v>
      </c>
      <c r="G78" t="s">
        <v>9</v>
      </c>
      <c r="H78">
        <v>15000</v>
      </c>
      <c r="I78">
        <f t="shared" si="1"/>
        <v>0</v>
      </c>
    </row>
    <row r="79" spans="1:9" x14ac:dyDescent="0.3">
      <c r="A79" s="2">
        <v>45713</v>
      </c>
      <c r="B79" s="1" t="s">
        <v>32</v>
      </c>
      <c r="C79" t="s">
        <v>33</v>
      </c>
      <c r="D79" t="s">
        <v>34</v>
      </c>
      <c r="E79" t="s">
        <v>31</v>
      </c>
      <c r="F79">
        <v>8284.5</v>
      </c>
      <c r="G79" t="s">
        <v>10</v>
      </c>
      <c r="H79">
        <v>15000</v>
      </c>
      <c r="I79">
        <f t="shared" si="1"/>
        <v>0</v>
      </c>
    </row>
    <row r="80" spans="1:9" x14ac:dyDescent="0.3">
      <c r="A80" s="2">
        <v>45713</v>
      </c>
      <c r="B80" s="1" t="s">
        <v>15</v>
      </c>
      <c r="C80" t="s">
        <v>16</v>
      </c>
      <c r="D80" t="s">
        <v>17</v>
      </c>
      <c r="E80" t="s">
        <v>18</v>
      </c>
      <c r="F80">
        <v>8810.9</v>
      </c>
      <c r="G80" t="s">
        <v>9</v>
      </c>
      <c r="H80">
        <v>15000</v>
      </c>
      <c r="I80">
        <f t="shared" si="1"/>
        <v>0</v>
      </c>
    </row>
    <row r="81" spans="1:9" x14ac:dyDescent="0.3">
      <c r="A81" s="2">
        <v>45713</v>
      </c>
      <c r="B81" s="1" t="s">
        <v>22</v>
      </c>
      <c r="C81" t="s">
        <v>23</v>
      </c>
      <c r="D81" t="s">
        <v>24</v>
      </c>
      <c r="E81" t="s">
        <v>18</v>
      </c>
      <c r="F81">
        <v>9058.4</v>
      </c>
      <c r="G81" t="s">
        <v>9</v>
      </c>
      <c r="H81">
        <v>15000</v>
      </c>
      <c r="I81">
        <f t="shared" si="1"/>
        <v>0</v>
      </c>
    </row>
    <row r="82" spans="1:9" x14ac:dyDescent="0.3">
      <c r="A82" s="2">
        <v>45713</v>
      </c>
      <c r="B82" s="1" t="s">
        <v>22</v>
      </c>
      <c r="C82" t="s">
        <v>23</v>
      </c>
      <c r="D82" t="s">
        <v>24</v>
      </c>
      <c r="E82" t="s">
        <v>18</v>
      </c>
      <c r="F82">
        <v>9499</v>
      </c>
      <c r="G82" t="s">
        <v>10</v>
      </c>
      <c r="H82">
        <v>15000</v>
      </c>
      <c r="I82">
        <f t="shared" si="1"/>
        <v>0</v>
      </c>
    </row>
    <row r="83" spans="1:9" x14ac:dyDescent="0.3">
      <c r="A83" s="2">
        <v>45713</v>
      </c>
      <c r="B83" s="1" t="s">
        <v>19</v>
      </c>
      <c r="C83" t="s">
        <v>20</v>
      </c>
      <c r="D83" t="s">
        <v>21</v>
      </c>
      <c r="E83" t="s">
        <v>18</v>
      </c>
      <c r="F83">
        <v>9651.2000000000007</v>
      </c>
      <c r="G83" t="s">
        <v>9</v>
      </c>
      <c r="H83">
        <v>15000</v>
      </c>
      <c r="I83">
        <f t="shared" si="1"/>
        <v>0</v>
      </c>
    </row>
    <row r="84" spans="1:9" x14ac:dyDescent="0.3">
      <c r="A84" s="2">
        <v>45713</v>
      </c>
      <c r="B84" s="1" t="s">
        <v>22</v>
      </c>
      <c r="C84" t="s">
        <v>23</v>
      </c>
      <c r="D84" t="s">
        <v>24</v>
      </c>
      <c r="E84" t="s">
        <v>18</v>
      </c>
      <c r="F84">
        <v>9794</v>
      </c>
      <c r="G84" t="s">
        <v>10</v>
      </c>
      <c r="H84">
        <v>15000</v>
      </c>
      <c r="I84">
        <f t="shared" si="1"/>
        <v>0</v>
      </c>
    </row>
    <row r="85" spans="1:9" x14ac:dyDescent="0.3">
      <c r="A85" s="2">
        <v>45737</v>
      </c>
      <c r="B85" s="1" t="s">
        <v>32</v>
      </c>
      <c r="C85" t="s">
        <v>33</v>
      </c>
      <c r="D85" t="s">
        <v>34</v>
      </c>
      <c r="E85" t="s">
        <v>31</v>
      </c>
      <c r="F85">
        <v>8322.4</v>
      </c>
      <c r="G85" t="s">
        <v>9</v>
      </c>
      <c r="H85">
        <v>15000</v>
      </c>
      <c r="I85">
        <f t="shared" si="1"/>
        <v>0</v>
      </c>
    </row>
    <row r="86" spans="1:9" x14ac:dyDescent="0.3">
      <c r="A86" s="2">
        <v>45737</v>
      </c>
      <c r="B86" s="1" t="s">
        <v>38</v>
      </c>
      <c r="C86" t="s">
        <v>39</v>
      </c>
      <c r="D86" t="s">
        <v>40</v>
      </c>
      <c r="E86" t="s">
        <v>31</v>
      </c>
      <c r="F86">
        <v>8501.9</v>
      </c>
      <c r="G86" t="s">
        <v>10</v>
      </c>
      <c r="H86">
        <v>15000</v>
      </c>
      <c r="I86">
        <f t="shared" si="1"/>
        <v>0</v>
      </c>
    </row>
    <row r="87" spans="1:9" x14ac:dyDescent="0.3">
      <c r="A87" s="2">
        <v>45737</v>
      </c>
      <c r="B87" s="1" t="s">
        <v>28</v>
      </c>
      <c r="C87" t="s">
        <v>29</v>
      </c>
      <c r="D87" t="s">
        <v>30</v>
      </c>
      <c r="E87" t="s">
        <v>31</v>
      </c>
      <c r="F87">
        <v>8520</v>
      </c>
      <c r="G87" t="s">
        <v>12</v>
      </c>
      <c r="H87">
        <v>15000</v>
      </c>
      <c r="I87">
        <f t="shared" si="1"/>
        <v>0</v>
      </c>
    </row>
    <row r="88" spans="1:9" x14ac:dyDescent="0.3">
      <c r="A88" s="2">
        <v>45737</v>
      </c>
      <c r="B88" s="1" t="s">
        <v>28</v>
      </c>
      <c r="C88" t="s">
        <v>29</v>
      </c>
      <c r="D88" t="s">
        <v>30</v>
      </c>
      <c r="E88" t="s">
        <v>31</v>
      </c>
      <c r="F88">
        <v>8721.6</v>
      </c>
      <c r="G88" t="s">
        <v>12</v>
      </c>
      <c r="H88">
        <v>15000</v>
      </c>
      <c r="I88">
        <f t="shared" si="1"/>
        <v>0</v>
      </c>
    </row>
    <row r="89" spans="1:9" x14ac:dyDescent="0.3">
      <c r="A89" s="2">
        <v>45737</v>
      </c>
      <c r="B89" s="1" t="s">
        <v>32</v>
      </c>
      <c r="C89" t="s">
        <v>33</v>
      </c>
      <c r="D89" t="s">
        <v>34</v>
      </c>
      <c r="E89" t="s">
        <v>31</v>
      </c>
      <c r="F89">
        <v>8772</v>
      </c>
      <c r="G89" t="s">
        <v>10</v>
      </c>
      <c r="H89">
        <v>15000</v>
      </c>
      <c r="I89">
        <f t="shared" si="1"/>
        <v>0</v>
      </c>
    </row>
    <row r="90" spans="1:9" x14ac:dyDescent="0.3">
      <c r="A90" s="2">
        <v>45737</v>
      </c>
      <c r="B90" s="1" t="s">
        <v>32</v>
      </c>
      <c r="C90" t="s">
        <v>33</v>
      </c>
      <c r="D90" t="s">
        <v>34</v>
      </c>
      <c r="E90" t="s">
        <v>31</v>
      </c>
      <c r="F90">
        <v>8925.7000000000007</v>
      </c>
      <c r="G90" t="s">
        <v>9</v>
      </c>
      <c r="H90">
        <v>15000</v>
      </c>
      <c r="I90">
        <f t="shared" si="1"/>
        <v>0</v>
      </c>
    </row>
    <row r="91" spans="1:9" x14ac:dyDescent="0.3">
      <c r="A91" s="2">
        <v>45737</v>
      </c>
      <c r="B91" s="1" t="s">
        <v>35</v>
      </c>
      <c r="C91" t="s">
        <v>36</v>
      </c>
      <c r="D91" t="s">
        <v>37</v>
      </c>
      <c r="E91" t="s">
        <v>31</v>
      </c>
      <c r="F91">
        <v>9270.1</v>
      </c>
      <c r="G91" t="s">
        <v>9</v>
      </c>
      <c r="H91">
        <v>15000</v>
      </c>
      <c r="I91">
        <f t="shared" si="1"/>
        <v>0</v>
      </c>
    </row>
    <row r="92" spans="1:9" x14ac:dyDescent="0.3">
      <c r="A92" s="2">
        <v>45737</v>
      </c>
      <c r="B92" s="1" t="s">
        <v>71</v>
      </c>
      <c r="C92" t="s">
        <v>72</v>
      </c>
      <c r="D92" t="s">
        <v>73</v>
      </c>
      <c r="E92" t="s">
        <v>31</v>
      </c>
      <c r="F92">
        <v>9292.5</v>
      </c>
      <c r="G92" t="s">
        <v>10</v>
      </c>
      <c r="H92">
        <v>15000</v>
      </c>
      <c r="I92">
        <f t="shared" si="1"/>
        <v>0</v>
      </c>
    </row>
    <row r="93" spans="1:9" x14ac:dyDescent="0.3">
      <c r="A93" s="2">
        <v>45737</v>
      </c>
      <c r="B93" s="1" t="s">
        <v>28</v>
      </c>
      <c r="C93" t="s">
        <v>29</v>
      </c>
      <c r="D93" t="s">
        <v>30</v>
      </c>
      <c r="E93" t="s">
        <v>31</v>
      </c>
      <c r="F93">
        <v>9708.2999999999993</v>
      </c>
      <c r="G93" t="s">
        <v>10</v>
      </c>
      <c r="H93">
        <v>15000</v>
      </c>
      <c r="I93">
        <f t="shared" si="1"/>
        <v>0</v>
      </c>
    </row>
    <row r="94" spans="1:9" x14ac:dyDescent="0.3">
      <c r="A94" s="2">
        <v>45737</v>
      </c>
      <c r="B94" s="1" t="s">
        <v>32</v>
      </c>
      <c r="C94" t="s">
        <v>33</v>
      </c>
      <c r="D94" t="s">
        <v>34</v>
      </c>
      <c r="E94" t="s">
        <v>31</v>
      </c>
      <c r="F94">
        <v>10500</v>
      </c>
      <c r="G94" t="s">
        <v>10</v>
      </c>
      <c r="H94">
        <v>15000</v>
      </c>
      <c r="I94">
        <f t="shared" si="1"/>
        <v>0</v>
      </c>
    </row>
    <row r="95" spans="1:9" x14ac:dyDescent="0.3">
      <c r="A95" s="2">
        <v>45737</v>
      </c>
      <c r="B95" s="1" t="s">
        <v>28</v>
      </c>
      <c r="C95" t="s">
        <v>29</v>
      </c>
      <c r="D95" t="s">
        <v>30</v>
      </c>
      <c r="E95" t="s">
        <v>31</v>
      </c>
      <c r="F95">
        <v>10758.7</v>
      </c>
      <c r="G95" t="s">
        <v>10</v>
      </c>
      <c r="H95">
        <v>15000</v>
      </c>
      <c r="I95">
        <f t="shared" si="1"/>
        <v>0</v>
      </c>
    </row>
    <row r="96" spans="1:9" x14ac:dyDescent="0.3">
      <c r="A96" s="2">
        <v>45737</v>
      </c>
      <c r="B96" s="1" t="s">
        <v>32</v>
      </c>
      <c r="C96" t="s">
        <v>33</v>
      </c>
      <c r="D96" t="s">
        <v>34</v>
      </c>
      <c r="E96" t="s">
        <v>31</v>
      </c>
      <c r="F96">
        <v>10948</v>
      </c>
      <c r="G96" t="s">
        <v>10</v>
      </c>
      <c r="H96">
        <v>15000</v>
      </c>
      <c r="I96">
        <f t="shared" si="1"/>
        <v>0</v>
      </c>
    </row>
    <row r="97" spans="1:9" x14ac:dyDescent="0.3">
      <c r="A97" s="2">
        <v>45737</v>
      </c>
      <c r="B97" s="1" t="s">
        <v>32</v>
      </c>
      <c r="C97" t="s">
        <v>33</v>
      </c>
      <c r="D97" t="s">
        <v>34</v>
      </c>
      <c r="E97" t="s">
        <v>31</v>
      </c>
      <c r="F97">
        <v>10988.8</v>
      </c>
      <c r="G97" t="s">
        <v>9</v>
      </c>
      <c r="H97">
        <v>15000</v>
      </c>
      <c r="I97">
        <f t="shared" si="1"/>
        <v>0</v>
      </c>
    </row>
    <row r="98" spans="1:9" x14ac:dyDescent="0.3">
      <c r="A98" s="2">
        <v>45737</v>
      </c>
      <c r="B98" s="1" t="s">
        <v>35</v>
      </c>
      <c r="C98" t="s">
        <v>36</v>
      </c>
      <c r="D98" t="s">
        <v>37</v>
      </c>
      <c r="E98" t="s">
        <v>31</v>
      </c>
      <c r="F98">
        <v>11235</v>
      </c>
      <c r="G98" t="s">
        <v>12</v>
      </c>
      <c r="H98">
        <v>15000</v>
      </c>
      <c r="I98">
        <f t="shared" si="1"/>
        <v>0</v>
      </c>
    </row>
    <row r="99" spans="1:9" x14ac:dyDescent="0.3">
      <c r="A99" s="2">
        <v>45737</v>
      </c>
      <c r="B99" s="1" t="s">
        <v>71</v>
      </c>
      <c r="C99" t="s">
        <v>72</v>
      </c>
      <c r="D99" t="s">
        <v>73</v>
      </c>
      <c r="E99" t="s">
        <v>31</v>
      </c>
      <c r="F99">
        <v>12019.8</v>
      </c>
      <c r="G99" t="s">
        <v>9</v>
      </c>
      <c r="H99">
        <v>15000</v>
      </c>
      <c r="I99">
        <f t="shared" si="1"/>
        <v>0</v>
      </c>
    </row>
    <row r="100" spans="1:9" x14ac:dyDescent="0.3">
      <c r="A100" s="2">
        <v>45737</v>
      </c>
      <c r="B100" s="1" t="s">
        <v>45</v>
      </c>
      <c r="C100" t="s">
        <v>46</v>
      </c>
      <c r="D100" t="s">
        <v>47</v>
      </c>
      <c r="E100" t="s">
        <v>44</v>
      </c>
      <c r="F100">
        <v>8082.8</v>
      </c>
      <c r="G100" t="s">
        <v>9</v>
      </c>
      <c r="H100">
        <v>15000</v>
      </c>
      <c r="I100">
        <f t="shared" si="1"/>
        <v>0</v>
      </c>
    </row>
    <row r="101" spans="1:9" x14ac:dyDescent="0.3">
      <c r="A101" s="2">
        <v>45737</v>
      </c>
      <c r="B101" s="1" t="s">
        <v>41</v>
      </c>
      <c r="C101" t="s">
        <v>42</v>
      </c>
      <c r="D101" t="s">
        <v>43</v>
      </c>
      <c r="E101" t="s">
        <v>44</v>
      </c>
      <c r="F101">
        <v>8099.7</v>
      </c>
      <c r="G101" t="s">
        <v>9</v>
      </c>
      <c r="H101">
        <v>15000</v>
      </c>
      <c r="I101">
        <f t="shared" si="1"/>
        <v>0</v>
      </c>
    </row>
    <row r="102" spans="1:9" x14ac:dyDescent="0.3">
      <c r="A102" s="2">
        <v>45737</v>
      </c>
      <c r="B102" s="1" t="s">
        <v>51</v>
      </c>
      <c r="C102" t="s">
        <v>52</v>
      </c>
      <c r="D102" t="s">
        <v>53</v>
      </c>
      <c r="E102" t="s">
        <v>44</v>
      </c>
      <c r="F102">
        <v>8524.4</v>
      </c>
      <c r="G102" t="s">
        <v>12</v>
      </c>
      <c r="H102">
        <v>15000</v>
      </c>
      <c r="I102">
        <f t="shared" si="1"/>
        <v>0</v>
      </c>
    </row>
    <row r="103" spans="1:9" x14ac:dyDescent="0.3">
      <c r="A103" s="2">
        <v>45737</v>
      </c>
      <c r="B103" s="1" t="s">
        <v>45</v>
      </c>
      <c r="C103" t="s">
        <v>46</v>
      </c>
      <c r="D103" t="s">
        <v>47</v>
      </c>
      <c r="E103" t="s">
        <v>44</v>
      </c>
      <c r="F103">
        <v>8772</v>
      </c>
      <c r="G103" t="s">
        <v>12</v>
      </c>
      <c r="H103">
        <v>15000</v>
      </c>
      <c r="I103">
        <f t="shared" si="1"/>
        <v>0</v>
      </c>
    </row>
    <row r="104" spans="1:9" x14ac:dyDescent="0.3">
      <c r="A104" s="2">
        <v>45737</v>
      </c>
      <c r="B104" s="1" t="s">
        <v>45</v>
      </c>
      <c r="C104" t="s">
        <v>46</v>
      </c>
      <c r="D104" t="s">
        <v>47</v>
      </c>
      <c r="E104" t="s">
        <v>44</v>
      </c>
      <c r="F104">
        <v>8827</v>
      </c>
      <c r="G104" t="s">
        <v>12</v>
      </c>
      <c r="H104">
        <v>15000</v>
      </c>
      <c r="I104">
        <f t="shared" si="1"/>
        <v>0</v>
      </c>
    </row>
    <row r="105" spans="1:9" x14ac:dyDescent="0.3">
      <c r="A105" s="2">
        <v>45737</v>
      </c>
      <c r="B105" s="1" t="s">
        <v>45</v>
      </c>
      <c r="C105" t="s">
        <v>46</v>
      </c>
      <c r="D105" t="s">
        <v>47</v>
      </c>
      <c r="E105" t="s">
        <v>44</v>
      </c>
      <c r="F105">
        <v>9006</v>
      </c>
      <c r="G105" t="s">
        <v>12</v>
      </c>
      <c r="H105">
        <v>15000</v>
      </c>
      <c r="I105">
        <f t="shared" si="1"/>
        <v>0</v>
      </c>
    </row>
    <row r="106" spans="1:9" x14ac:dyDescent="0.3">
      <c r="A106" s="2">
        <v>45737</v>
      </c>
      <c r="B106" s="1" t="s">
        <v>54</v>
      </c>
      <c r="C106" t="s">
        <v>55</v>
      </c>
      <c r="D106" t="s">
        <v>56</v>
      </c>
      <c r="E106" t="s">
        <v>44</v>
      </c>
      <c r="F106">
        <v>9405.2999999999993</v>
      </c>
      <c r="G106" t="s">
        <v>10</v>
      </c>
      <c r="H106">
        <v>15000</v>
      </c>
      <c r="I106">
        <f t="shared" si="1"/>
        <v>0</v>
      </c>
    </row>
    <row r="107" spans="1:9" x14ac:dyDescent="0.3">
      <c r="A107" s="2">
        <v>45737</v>
      </c>
      <c r="B107" s="1" t="s">
        <v>48</v>
      </c>
      <c r="C107" t="s">
        <v>49</v>
      </c>
      <c r="D107" t="s">
        <v>50</v>
      </c>
      <c r="E107" t="s">
        <v>44</v>
      </c>
      <c r="F107">
        <v>9627.9</v>
      </c>
      <c r="G107" t="s">
        <v>9</v>
      </c>
      <c r="H107">
        <v>15000</v>
      </c>
      <c r="I107">
        <f t="shared" si="1"/>
        <v>0</v>
      </c>
    </row>
    <row r="108" spans="1:9" x14ac:dyDescent="0.3">
      <c r="A108" s="2">
        <v>45737</v>
      </c>
      <c r="B108" s="1" t="s">
        <v>48</v>
      </c>
      <c r="C108" t="s">
        <v>49</v>
      </c>
      <c r="D108" t="s">
        <v>50</v>
      </c>
      <c r="E108" t="s">
        <v>44</v>
      </c>
      <c r="F108">
        <v>9704.2000000000007</v>
      </c>
      <c r="G108" t="s">
        <v>12</v>
      </c>
      <c r="H108">
        <v>15000</v>
      </c>
      <c r="I108">
        <f t="shared" si="1"/>
        <v>0</v>
      </c>
    </row>
    <row r="109" spans="1:9" x14ac:dyDescent="0.3">
      <c r="A109" s="2">
        <v>45737</v>
      </c>
      <c r="B109" s="1" t="s">
        <v>51</v>
      </c>
      <c r="C109" t="s">
        <v>52</v>
      </c>
      <c r="D109" t="s">
        <v>53</v>
      </c>
      <c r="E109" t="s">
        <v>44</v>
      </c>
      <c r="F109">
        <v>9826.4</v>
      </c>
      <c r="G109" t="s">
        <v>12</v>
      </c>
      <c r="H109">
        <v>15000</v>
      </c>
      <c r="I109">
        <f t="shared" si="1"/>
        <v>0</v>
      </c>
    </row>
    <row r="110" spans="1:9" x14ac:dyDescent="0.3">
      <c r="A110" s="2">
        <v>45737</v>
      </c>
      <c r="B110" s="1" t="s">
        <v>54</v>
      </c>
      <c r="C110" t="s">
        <v>55</v>
      </c>
      <c r="D110" t="s">
        <v>56</v>
      </c>
      <c r="E110" t="s">
        <v>44</v>
      </c>
      <c r="F110">
        <v>9836.7999999999993</v>
      </c>
      <c r="G110" t="s">
        <v>9</v>
      </c>
      <c r="H110">
        <v>15000</v>
      </c>
      <c r="I110">
        <f t="shared" si="1"/>
        <v>0</v>
      </c>
    </row>
    <row r="111" spans="1:9" x14ac:dyDescent="0.3">
      <c r="A111" s="2">
        <v>45737</v>
      </c>
      <c r="B111" s="1" t="s">
        <v>45</v>
      </c>
      <c r="C111" t="s">
        <v>46</v>
      </c>
      <c r="D111" t="s">
        <v>47</v>
      </c>
      <c r="E111" t="s">
        <v>44</v>
      </c>
      <c r="F111">
        <v>9840</v>
      </c>
      <c r="G111" t="s">
        <v>10</v>
      </c>
      <c r="H111">
        <v>15000</v>
      </c>
      <c r="I111">
        <f t="shared" si="1"/>
        <v>0</v>
      </c>
    </row>
    <row r="112" spans="1:9" x14ac:dyDescent="0.3">
      <c r="A112" s="2">
        <v>45737</v>
      </c>
      <c r="B112" s="1" t="s">
        <v>45</v>
      </c>
      <c r="C112" t="s">
        <v>46</v>
      </c>
      <c r="D112" t="s">
        <v>47</v>
      </c>
      <c r="E112" t="s">
        <v>44</v>
      </c>
      <c r="F112">
        <v>10032</v>
      </c>
      <c r="G112" t="s">
        <v>9</v>
      </c>
      <c r="H112">
        <v>15000</v>
      </c>
      <c r="I112">
        <f t="shared" si="1"/>
        <v>0</v>
      </c>
    </row>
    <row r="113" spans="1:9" x14ac:dyDescent="0.3">
      <c r="A113" s="2">
        <v>45737</v>
      </c>
      <c r="B113" s="1" t="s">
        <v>15</v>
      </c>
      <c r="C113" t="s">
        <v>16</v>
      </c>
      <c r="D113" t="s">
        <v>17</v>
      </c>
      <c r="E113" t="s">
        <v>18</v>
      </c>
      <c r="F113">
        <v>10492.2</v>
      </c>
      <c r="G113" t="s">
        <v>12</v>
      </c>
      <c r="H113">
        <v>15000</v>
      </c>
      <c r="I113">
        <f t="shared" si="1"/>
        <v>0</v>
      </c>
    </row>
    <row r="114" spans="1:9" x14ac:dyDescent="0.3">
      <c r="A114" s="2">
        <v>45737</v>
      </c>
      <c r="B114" s="1" t="s">
        <v>15</v>
      </c>
      <c r="C114" t="s">
        <v>16</v>
      </c>
      <c r="D114" t="s">
        <v>17</v>
      </c>
      <c r="E114" t="s">
        <v>18</v>
      </c>
      <c r="F114">
        <v>11210</v>
      </c>
      <c r="G114" t="s">
        <v>12</v>
      </c>
      <c r="H114">
        <v>15000</v>
      </c>
      <c r="I114">
        <f t="shared" si="1"/>
        <v>0</v>
      </c>
    </row>
    <row r="115" spans="1:9" x14ac:dyDescent="0.3">
      <c r="A115" s="2">
        <v>45737</v>
      </c>
      <c r="B115" s="1" t="s">
        <v>25</v>
      </c>
      <c r="C115" t="s">
        <v>26</v>
      </c>
      <c r="D115" t="s">
        <v>27</v>
      </c>
      <c r="E115" t="s">
        <v>18</v>
      </c>
      <c r="F115">
        <v>11617.6</v>
      </c>
      <c r="G115" t="s">
        <v>10</v>
      </c>
      <c r="H115">
        <v>15000</v>
      </c>
      <c r="I115">
        <f t="shared" si="1"/>
        <v>0</v>
      </c>
    </row>
    <row r="116" spans="1:9" x14ac:dyDescent="0.3">
      <c r="A116" s="2">
        <v>45737</v>
      </c>
      <c r="B116" s="1" t="s">
        <v>68</v>
      </c>
      <c r="C116" t="s">
        <v>69</v>
      </c>
      <c r="D116" t="s">
        <v>70</v>
      </c>
      <c r="E116" t="s">
        <v>18</v>
      </c>
      <c r="F116">
        <v>11914.4</v>
      </c>
      <c r="G116" t="s">
        <v>10</v>
      </c>
      <c r="H116">
        <v>15000</v>
      </c>
      <c r="I116">
        <f t="shared" si="1"/>
        <v>0</v>
      </c>
    </row>
    <row r="117" spans="1:9" x14ac:dyDescent="0.3">
      <c r="A117" s="2">
        <v>45737</v>
      </c>
      <c r="B117" s="1" t="s">
        <v>68</v>
      </c>
      <c r="C117" t="s">
        <v>69</v>
      </c>
      <c r="D117" t="s">
        <v>70</v>
      </c>
      <c r="E117" t="s">
        <v>18</v>
      </c>
      <c r="F117">
        <v>12096</v>
      </c>
      <c r="G117" t="s">
        <v>12</v>
      </c>
      <c r="H117">
        <v>15000</v>
      </c>
      <c r="I117">
        <f t="shared" si="1"/>
        <v>0</v>
      </c>
    </row>
    <row r="118" spans="1:9" x14ac:dyDescent="0.3">
      <c r="A118" s="2">
        <v>45737</v>
      </c>
      <c r="B118" s="1" t="s">
        <v>62</v>
      </c>
      <c r="C118" t="s">
        <v>13</v>
      </c>
      <c r="D118" t="s">
        <v>63</v>
      </c>
      <c r="E118" t="s">
        <v>8</v>
      </c>
      <c r="F118">
        <v>8065.6</v>
      </c>
      <c r="G118" t="s">
        <v>12</v>
      </c>
      <c r="H118">
        <v>15000</v>
      </c>
      <c r="I118">
        <f t="shared" si="1"/>
        <v>0</v>
      </c>
    </row>
    <row r="119" spans="1:9" x14ac:dyDescent="0.3">
      <c r="A119" s="2">
        <v>45737</v>
      </c>
      <c r="B119" s="1" t="s">
        <v>66</v>
      </c>
      <c r="C119" t="s">
        <v>7</v>
      </c>
      <c r="D119" t="s">
        <v>67</v>
      </c>
      <c r="E119" t="s">
        <v>8</v>
      </c>
      <c r="F119">
        <v>8095.5</v>
      </c>
      <c r="G119" t="s">
        <v>9</v>
      </c>
      <c r="H119">
        <v>15000</v>
      </c>
      <c r="I119">
        <f t="shared" si="1"/>
        <v>0</v>
      </c>
    </row>
    <row r="120" spans="1:9" x14ac:dyDescent="0.3">
      <c r="A120" s="2">
        <v>45737</v>
      </c>
      <c r="B120" s="1" t="s">
        <v>62</v>
      </c>
      <c r="C120" t="s">
        <v>13</v>
      </c>
      <c r="D120" t="s">
        <v>63</v>
      </c>
      <c r="E120" t="s">
        <v>8</v>
      </c>
      <c r="F120">
        <v>8694</v>
      </c>
      <c r="G120" t="s">
        <v>9</v>
      </c>
      <c r="H120">
        <v>15000</v>
      </c>
      <c r="I120">
        <f t="shared" si="1"/>
        <v>0</v>
      </c>
    </row>
    <row r="121" spans="1:9" x14ac:dyDescent="0.3">
      <c r="A121" s="2">
        <v>45737</v>
      </c>
      <c r="B121" s="1" t="s">
        <v>57</v>
      </c>
      <c r="C121" t="s">
        <v>58</v>
      </c>
      <c r="D121" t="s">
        <v>59</v>
      </c>
      <c r="E121" t="s">
        <v>8</v>
      </c>
      <c r="F121">
        <v>8914.5</v>
      </c>
      <c r="G121" t="s">
        <v>9</v>
      </c>
      <c r="H121">
        <v>15000</v>
      </c>
      <c r="I121">
        <f t="shared" si="1"/>
        <v>0</v>
      </c>
    </row>
    <row r="122" spans="1:9" x14ac:dyDescent="0.3">
      <c r="A122" s="2">
        <v>45737</v>
      </c>
      <c r="B122" s="1" t="s">
        <v>66</v>
      </c>
      <c r="C122" t="s">
        <v>7</v>
      </c>
      <c r="D122" t="s">
        <v>67</v>
      </c>
      <c r="E122" t="s">
        <v>8</v>
      </c>
      <c r="F122">
        <v>9004.7999999999993</v>
      </c>
      <c r="G122" t="s">
        <v>9</v>
      </c>
      <c r="H122">
        <v>15000</v>
      </c>
      <c r="I122">
        <f t="shared" si="1"/>
        <v>0</v>
      </c>
    </row>
    <row r="123" spans="1:9" x14ac:dyDescent="0.3">
      <c r="A123" s="2">
        <v>45737</v>
      </c>
      <c r="B123" s="1" t="s">
        <v>64</v>
      </c>
      <c r="C123" t="s">
        <v>11</v>
      </c>
      <c r="D123" t="s">
        <v>65</v>
      </c>
      <c r="E123" t="s">
        <v>8</v>
      </c>
      <c r="F123">
        <v>9098.6</v>
      </c>
      <c r="G123" t="s">
        <v>12</v>
      </c>
      <c r="H123">
        <v>15000</v>
      </c>
      <c r="I123">
        <f t="shared" si="1"/>
        <v>0</v>
      </c>
    </row>
    <row r="124" spans="1:9" x14ac:dyDescent="0.3">
      <c r="A124" s="2">
        <v>45737</v>
      </c>
      <c r="B124" s="1" t="s">
        <v>62</v>
      </c>
      <c r="C124" t="s">
        <v>13</v>
      </c>
      <c r="D124" t="s">
        <v>63</v>
      </c>
      <c r="E124" t="s">
        <v>8</v>
      </c>
      <c r="F124">
        <v>9116</v>
      </c>
      <c r="G124" t="s">
        <v>9</v>
      </c>
      <c r="H124">
        <v>15000</v>
      </c>
      <c r="I124">
        <f t="shared" si="1"/>
        <v>0</v>
      </c>
    </row>
    <row r="125" spans="1:9" x14ac:dyDescent="0.3">
      <c r="A125" s="2">
        <v>45737</v>
      </c>
      <c r="B125" s="1" t="s">
        <v>62</v>
      </c>
      <c r="C125" t="s">
        <v>13</v>
      </c>
      <c r="D125" t="s">
        <v>63</v>
      </c>
      <c r="E125" t="s">
        <v>8</v>
      </c>
      <c r="F125">
        <v>9574.7999999999993</v>
      </c>
      <c r="G125" t="s">
        <v>10</v>
      </c>
      <c r="H125">
        <v>15000</v>
      </c>
      <c r="I125">
        <f t="shared" si="1"/>
        <v>0</v>
      </c>
    </row>
    <row r="126" spans="1:9" x14ac:dyDescent="0.3">
      <c r="A126" s="2">
        <v>45737</v>
      </c>
      <c r="B126" s="1" t="s">
        <v>66</v>
      </c>
      <c r="C126" t="s">
        <v>7</v>
      </c>
      <c r="D126" t="s">
        <v>67</v>
      </c>
      <c r="E126" t="s">
        <v>8</v>
      </c>
      <c r="F126">
        <v>9683</v>
      </c>
      <c r="G126" t="s">
        <v>12</v>
      </c>
      <c r="H126">
        <v>15000</v>
      </c>
      <c r="I126">
        <f t="shared" si="1"/>
        <v>0</v>
      </c>
    </row>
    <row r="127" spans="1:9" x14ac:dyDescent="0.3">
      <c r="A127" s="2">
        <v>45737</v>
      </c>
      <c r="B127" s="1" t="s">
        <v>62</v>
      </c>
      <c r="C127" t="s">
        <v>13</v>
      </c>
      <c r="D127" t="s">
        <v>63</v>
      </c>
      <c r="E127" t="s">
        <v>8</v>
      </c>
      <c r="F127">
        <v>9697.6</v>
      </c>
      <c r="G127" t="s">
        <v>10</v>
      </c>
      <c r="H127">
        <v>15000</v>
      </c>
      <c r="I127">
        <f t="shared" si="1"/>
        <v>0</v>
      </c>
    </row>
    <row r="128" spans="1:9" x14ac:dyDescent="0.3">
      <c r="A128" s="2">
        <v>45737</v>
      </c>
      <c r="B128" s="1" t="s">
        <v>57</v>
      </c>
      <c r="C128" t="s">
        <v>58</v>
      </c>
      <c r="D128" t="s">
        <v>59</v>
      </c>
      <c r="E128" t="s">
        <v>8</v>
      </c>
      <c r="F128">
        <v>10019.200000000001</v>
      </c>
      <c r="G128" t="s">
        <v>12</v>
      </c>
      <c r="H128">
        <v>15000</v>
      </c>
      <c r="I128">
        <f t="shared" si="1"/>
        <v>0</v>
      </c>
    </row>
    <row r="129" spans="1:9" x14ac:dyDescent="0.3">
      <c r="A129" s="2">
        <v>45737</v>
      </c>
      <c r="B129" s="1" t="s">
        <v>62</v>
      </c>
      <c r="C129" t="s">
        <v>13</v>
      </c>
      <c r="D129" t="s">
        <v>63</v>
      </c>
      <c r="E129" t="s">
        <v>8</v>
      </c>
      <c r="F129">
        <v>10067.200000000001</v>
      </c>
      <c r="G129" t="s">
        <v>12</v>
      </c>
      <c r="H129">
        <v>15000</v>
      </c>
      <c r="I129">
        <f t="shared" si="1"/>
        <v>0</v>
      </c>
    </row>
    <row r="130" spans="1:9" x14ac:dyDescent="0.3">
      <c r="A130" s="2">
        <v>45737</v>
      </c>
      <c r="B130" s="1" t="s">
        <v>64</v>
      </c>
      <c r="C130" t="s">
        <v>11</v>
      </c>
      <c r="D130" t="s">
        <v>65</v>
      </c>
      <c r="E130" t="s">
        <v>8</v>
      </c>
      <c r="F130">
        <v>10110.299999999999</v>
      </c>
      <c r="G130" t="s">
        <v>9</v>
      </c>
      <c r="H130">
        <v>15000</v>
      </c>
      <c r="I130">
        <f t="shared" si="1"/>
        <v>0</v>
      </c>
    </row>
    <row r="131" spans="1:9" x14ac:dyDescent="0.3">
      <c r="A131" s="2">
        <v>45737</v>
      </c>
      <c r="B131" s="1" t="s">
        <v>62</v>
      </c>
      <c r="C131" t="s">
        <v>13</v>
      </c>
      <c r="D131" t="s">
        <v>63</v>
      </c>
      <c r="E131" t="s">
        <v>8</v>
      </c>
      <c r="F131">
        <v>10176</v>
      </c>
      <c r="G131" t="s">
        <v>10</v>
      </c>
      <c r="H131">
        <v>15000</v>
      </c>
      <c r="I131">
        <f t="shared" ref="I131:I194" si="2">IF(F131&gt;=H131,0.1*F131,0)</f>
        <v>0</v>
      </c>
    </row>
    <row r="132" spans="1:9" x14ac:dyDescent="0.3">
      <c r="A132" s="2">
        <v>45741</v>
      </c>
      <c r="B132" s="1" t="s">
        <v>35</v>
      </c>
      <c r="C132" t="s">
        <v>36</v>
      </c>
      <c r="D132" t="s">
        <v>37</v>
      </c>
      <c r="E132" t="s">
        <v>31</v>
      </c>
      <c r="F132">
        <v>12124.2</v>
      </c>
      <c r="G132" t="s">
        <v>12</v>
      </c>
      <c r="H132">
        <v>15000</v>
      </c>
      <c r="I132">
        <f t="shared" si="2"/>
        <v>0</v>
      </c>
    </row>
    <row r="133" spans="1:9" x14ac:dyDescent="0.3">
      <c r="A133" s="2">
        <v>45741</v>
      </c>
      <c r="B133" s="1" t="s">
        <v>45</v>
      </c>
      <c r="C133" t="s">
        <v>46</v>
      </c>
      <c r="D133" t="s">
        <v>47</v>
      </c>
      <c r="E133" t="s">
        <v>44</v>
      </c>
      <c r="F133">
        <v>10200</v>
      </c>
      <c r="G133" t="s">
        <v>12</v>
      </c>
      <c r="H133">
        <v>15000</v>
      </c>
      <c r="I133">
        <f t="shared" si="2"/>
        <v>0</v>
      </c>
    </row>
    <row r="134" spans="1:9" x14ac:dyDescent="0.3">
      <c r="A134" s="2">
        <v>45741</v>
      </c>
      <c r="B134" s="1" t="s">
        <v>51</v>
      </c>
      <c r="C134" t="s">
        <v>52</v>
      </c>
      <c r="D134" t="s">
        <v>53</v>
      </c>
      <c r="E134" t="s">
        <v>44</v>
      </c>
      <c r="F134">
        <v>10218</v>
      </c>
      <c r="G134" t="s">
        <v>10</v>
      </c>
      <c r="H134">
        <v>15000</v>
      </c>
      <c r="I134">
        <f t="shared" si="2"/>
        <v>0</v>
      </c>
    </row>
    <row r="135" spans="1:9" x14ac:dyDescent="0.3">
      <c r="A135" s="2">
        <v>45741</v>
      </c>
      <c r="B135" s="1" t="s">
        <v>51</v>
      </c>
      <c r="C135" t="s">
        <v>52</v>
      </c>
      <c r="D135" t="s">
        <v>53</v>
      </c>
      <c r="E135" t="s">
        <v>44</v>
      </c>
      <c r="F135">
        <v>10573.5</v>
      </c>
      <c r="G135" t="s">
        <v>9</v>
      </c>
      <c r="H135">
        <v>15000</v>
      </c>
      <c r="I135">
        <f t="shared" si="2"/>
        <v>0</v>
      </c>
    </row>
    <row r="136" spans="1:9" x14ac:dyDescent="0.3">
      <c r="A136" s="2">
        <v>45741</v>
      </c>
      <c r="B136" s="1" t="s">
        <v>41</v>
      </c>
      <c r="C136" t="s">
        <v>42</v>
      </c>
      <c r="D136" t="s">
        <v>43</v>
      </c>
      <c r="E136" t="s">
        <v>44</v>
      </c>
      <c r="F136">
        <v>10903.2</v>
      </c>
      <c r="G136" t="s">
        <v>10</v>
      </c>
      <c r="H136">
        <v>15000</v>
      </c>
      <c r="I136">
        <f t="shared" si="2"/>
        <v>0</v>
      </c>
    </row>
    <row r="137" spans="1:9" x14ac:dyDescent="0.3">
      <c r="A137" s="2">
        <v>45741</v>
      </c>
      <c r="B137" s="1" t="s">
        <v>54</v>
      </c>
      <c r="C137" t="s">
        <v>55</v>
      </c>
      <c r="D137" t="s">
        <v>56</v>
      </c>
      <c r="E137" t="s">
        <v>44</v>
      </c>
      <c r="F137">
        <v>10948</v>
      </c>
      <c r="G137" t="s">
        <v>9</v>
      </c>
      <c r="H137">
        <v>15000</v>
      </c>
      <c r="I137">
        <f t="shared" si="2"/>
        <v>0</v>
      </c>
    </row>
    <row r="138" spans="1:9" x14ac:dyDescent="0.3">
      <c r="A138" s="2">
        <v>45741</v>
      </c>
      <c r="B138" s="1" t="s">
        <v>51</v>
      </c>
      <c r="C138" t="s">
        <v>52</v>
      </c>
      <c r="D138" t="s">
        <v>53</v>
      </c>
      <c r="E138" t="s">
        <v>44</v>
      </c>
      <c r="F138">
        <v>11166.3</v>
      </c>
      <c r="G138" t="s">
        <v>10</v>
      </c>
      <c r="H138">
        <v>15000</v>
      </c>
      <c r="I138">
        <f t="shared" si="2"/>
        <v>0</v>
      </c>
    </row>
    <row r="139" spans="1:9" x14ac:dyDescent="0.3">
      <c r="A139" s="2">
        <v>45741</v>
      </c>
      <c r="B139" s="1" t="s">
        <v>45</v>
      </c>
      <c r="C139" t="s">
        <v>46</v>
      </c>
      <c r="D139" t="s">
        <v>47</v>
      </c>
      <c r="E139" t="s">
        <v>44</v>
      </c>
      <c r="F139">
        <v>11403</v>
      </c>
      <c r="G139" t="s">
        <v>10</v>
      </c>
      <c r="H139">
        <v>15000</v>
      </c>
      <c r="I139">
        <f t="shared" si="2"/>
        <v>0</v>
      </c>
    </row>
    <row r="140" spans="1:9" x14ac:dyDescent="0.3">
      <c r="A140" s="2">
        <v>45741</v>
      </c>
      <c r="B140" s="1" t="s">
        <v>45</v>
      </c>
      <c r="C140" t="s">
        <v>46</v>
      </c>
      <c r="D140" t="s">
        <v>47</v>
      </c>
      <c r="E140" t="s">
        <v>44</v>
      </c>
      <c r="F140">
        <v>11554.4</v>
      </c>
      <c r="G140" t="s">
        <v>10</v>
      </c>
      <c r="H140">
        <v>15000</v>
      </c>
      <c r="I140">
        <f t="shared" si="2"/>
        <v>0</v>
      </c>
    </row>
    <row r="141" spans="1:9" x14ac:dyDescent="0.3">
      <c r="A141" s="2">
        <v>45741</v>
      </c>
      <c r="B141" s="1" t="s">
        <v>62</v>
      </c>
      <c r="C141" t="s">
        <v>13</v>
      </c>
      <c r="D141" t="s">
        <v>63</v>
      </c>
      <c r="E141" t="s">
        <v>8</v>
      </c>
      <c r="F141">
        <v>10391.700000000001</v>
      </c>
      <c r="G141" t="s">
        <v>12</v>
      </c>
      <c r="H141">
        <v>15000</v>
      </c>
      <c r="I141">
        <f t="shared" si="2"/>
        <v>0</v>
      </c>
    </row>
    <row r="142" spans="1:9" x14ac:dyDescent="0.3">
      <c r="A142" s="2">
        <v>45741</v>
      </c>
      <c r="B142" s="1" t="s">
        <v>57</v>
      </c>
      <c r="C142" t="s">
        <v>58</v>
      </c>
      <c r="D142" t="s">
        <v>59</v>
      </c>
      <c r="E142" t="s">
        <v>8</v>
      </c>
      <c r="F142">
        <v>10451.200000000001</v>
      </c>
      <c r="G142" t="s">
        <v>9</v>
      </c>
      <c r="H142">
        <v>15000</v>
      </c>
      <c r="I142">
        <f t="shared" si="2"/>
        <v>0</v>
      </c>
    </row>
    <row r="143" spans="1:9" x14ac:dyDescent="0.3">
      <c r="A143" s="2">
        <v>45741</v>
      </c>
      <c r="B143" s="1" t="s">
        <v>64</v>
      </c>
      <c r="C143" t="s">
        <v>11</v>
      </c>
      <c r="D143" t="s">
        <v>65</v>
      </c>
      <c r="E143" t="s">
        <v>8</v>
      </c>
      <c r="F143">
        <v>10595.2</v>
      </c>
      <c r="G143" t="s">
        <v>12</v>
      </c>
      <c r="H143">
        <v>15000</v>
      </c>
      <c r="I143">
        <f t="shared" si="2"/>
        <v>0</v>
      </c>
    </row>
    <row r="144" spans="1:9" x14ac:dyDescent="0.3">
      <c r="A144" s="2">
        <v>45741</v>
      </c>
      <c r="B144" s="1" t="s">
        <v>62</v>
      </c>
      <c r="C144" t="s">
        <v>13</v>
      </c>
      <c r="D144" t="s">
        <v>63</v>
      </c>
      <c r="E144" t="s">
        <v>8</v>
      </c>
      <c r="F144">
        <v>10649</v>
      </c>
      <c r="G144" t="s">
        <v>12</v>
      </c>
      <c r="H144">
        <v>15000</v>
      </c>
      <c r="I144">
        <f t="shared" si="2"/>
        <v>0</v>
      </c>
    </row>
    <row r="145" spans="1:9" x14ac:dyDescent="0.3">
      <c r="A145" s="2">
        <v>45741</v>
      </c>
      <c r="B145" s="1" t="s">
        <v>64</v>
      </c>
      <c r="C145" t="s">
        <v>11</v>
      </c>
      <c r="D145" t="s">
        <v>65</v>
      </c>
      <c r="E145" t="s">
        <v>8</v>
      </c>
      <c r="F145">
        <v>10679.4</v>
      </c>
      <c r="G145" t="s">
        <v>12</v>
      </c>
      <c r="H145">
        <v>15000</v>
      </c>
      <c r="I145">
        <f t="shared" si="2"/>
        <v>0</v>
      </c>
    </row>
    <row r="146" spans="1:9" x14ac:dyDescent="0.3">
      <c r="A146" s="2">
        <v>45741</v>
      </c>
      <c r="B146" s="1" t="s">
        <v>60</v>
      </c>
      <c r="C146" t="s">
        <v>14</v>
      </c>
      <c r="D146" t="s">
        <v>61</v>
      </c>
      <c r="E146" t="s">
        <v>8</v>
      </c>
      <c r="F146">
        <v>10694.7</v>
      </c>
      <c r="G146" t="s">
        <v>12</v>
      </c>
      <c r="H146">
        <v>15000</v>
      </c>
      <c r="I146">
        <f t="shared" si="2"/>
        <v>0</v>
      </c>
    </row>
    <row r="147" spans="1:9" x14ac:dyDescent="0.3">
      <c r="A147" s="2">
        <v>45741</v>
      </c>
      <c r="B147" s="1" t="s">
        <v>66</v>
      </c>
      <c r="C147" t="s">
        <v>7</v>
      </c>
      <c r="D147" t="s">
        <v>67</v>
      </c>
      <c r="E147" t="s">
        <v>8</v>
      </c>
      <c r="F147">
        <v>11155.5</v>
      </c>
      <c r="G147" t="s">
        <v>9</v>
      </c>
      <c r="H147">
        <v>15000</v>
      </c>
      <c r="I147">
        <f t="shared" si="2"/>
        <v>0</v>
      </c>
    </row>
    <row r="148" spans="1:9" x14ac:dyDescent="0.3">
      <c r="A148" s="2">
        <v>45768</v>
      </c>
      <c r="B148" s="1" t="s">
        <v>32</v>
      </c>
      <c r="C148" t="s">
        <v>33</v>
      </c>
      <c r="D148" t="s">
        <v>34</v>
      </c>
      <c r="E148" t="s">
        <v>31</v>
      </c>
      <c r="F148">
        <v>12306.6</v>
      </c>
      <c r="G148" t="s">
        <v>10</v>
      </c>
      <c r="H148">
        <v>15000</v>
      </c>
      <c r="I148">
        <f t="shared" si="2"/>
        <v>0</v>
      </c>
    </row>
    <row r="149" spans="1:9" x14ac:dyDescent="0.3">
      <c r="A149" s="2">
        <v>45768</v>
      </c>
      <c r="B149" s="1" t="s">
        <v>32</v>
      </c>
      <c r="C149" t="s">
        <v>33</v>
      </c>
      <c r="D149" t="s">
        <v>34</v>
      </c>
      <c r="E149" t="s">
        <v>31</v>
      </c>
      <c r="F149">
        <v>12944.4</v>
      </c>
      <c r="G149" t="s">
        <v>10</v>
      </c>
      <c r="H149">
        <v>15000</v>
      </c>
      <c r="I149">
        <f t="shared" si="2"/>
        <v>0</v>
      </c>
    </row>
    <row r="150" spans="1:9" x14ac:dyDescent="0.3">
      <c r="A150" s="2">
        <v>45768</v>
      </c>
      <c r="B150" s="1" t="s">
        <v>28</v>
      </c>
      <c r="C150" t="s">
        <v>29</v>
      </c>
      <c r="D150" t="s">
        <v>30</v>
      </c>
      <c r="E150" t="s">
        <v>31</v>
      </c>
      <c r="F150">
        <v>13310.4</v>
      </c>
      <c r="G150" t="s">
        <v>9</v>
      </c>
      <c r="H150">
        <v>15000</v>
      </c>
      <c r="I150">
        <f t="shared" si="2"/>
        <v>0</v>
      </c>
    </row>
    <row r="151" spans="1:9" x14ac:dyDescent="0.3">
      <c r="A151" s="2">
        <v>45768</v>
      </c>
      <c r="B151" s="1" t="s">
        <v>35</v>
      </c>
      <c r="C151" t="s">
        <v>36</v>
      </c>
      <c r="D151" t="s">
        <v>37</v>
      </c>
      <c r="E151" t="s">
        <v>31</v>
      </c>
      <c r="F151">
        <v>13467</v>
      </c>
      <c r="G151" t="s">
        <v>12</v>
      </c>
      <c r="H151">
        <v>15000</v>
      </c>
      <c r="I151">
        <f t="shared" si="2"/>
        <v>0</v>
      </c>
    </row>
    <row r="152" spans="1:9" x14ac:dyDescent="0.3">
      <c r="A152" s="2">
        <v>45768</v>
      </c>
      <c r="B152" s="1" t="s">
        <v>35</v>
      </c>
      <c r="C152" t="s">
        <v>36</v>
      </c>
      <c r="D152" t="s">
        <v>37</v>
      </c>
      <c r="E152" t="s">
        <v>31</v>
      </c>
      <c r="F152">
        <v>13479.4</v>
      </c>
      <c r="G152" t="s">
        <v>12</v>
      </c>
      <c r="H152">
        <v>15000</v>
      </c>
      <c r="I152">
        <f t="shared" si="2"/>
        <v>0</v>
      </c>
    </row>
    <row r="153" spans="1:9" x14ac:dyDescent="0.3">
      <c r="A153" s="2">
        <v>45768</v>
      </c>
      <c r="B153" s="1" t="s">
        <v>32</v>
      </c>
      <c r="C153" t="s">
        <v>33</v>
      </c>
      <c r="D153" t="s">
        <v>34</v>
      </c>
      <c r="E153" t="s">
        <v>31</v>
      </c>
      <c r="F153">
        <v>14089.2</v>
      </c>
      <c r="G153" t="s">
        <v>10</v>
      </c>
      <c r="H153">
        <v>15000</v>
      </c>
      <c r="I153">
        <f t="shared" si="2"/>
        <v>0</v>
      </c>
    </row>
    <row r="154" spans="1:9" x14ac:dyDescent="0.3">
      <c r="A154" s="2">
        <v>45768</v>
      </c>
      <c r="B154" s="1" t="s">
        <v>28</v>
      </c>
      <c r="C154" t="s">
        <v>29</v>
      </c>
      <c r="D154" t="s">
        <v>30</v>
      </c>
      <c r="E154" t="s">
        <v>31</v>
      </c>
      <c r="F154">
        <v>14248</v>
      </c>
      <c r="G154" t="s">
        <v>10</v>
      </c>
      <c r="H154">
        <v>15000</v>
      </c>
      <c r="I154">
        <f t="shared" si="2"/>
        <v>0</v>
      </c>
    </row>
    <row r="155" spans="1:9" x14ac:dyDescent="0.3">
      <c r="A155" s="2">
        <v>45768</v>
      </c>
      <c r="B155" s="1" t="s">
        <v>38</v>
      </c>
      <c r="C155" t="s">
        <v>39</v>
      </c>
      <c r="D155" t="s">
        <v>40</v>
      </c>
      <c r="E155" t="s">
        <v>31</v>
      </c>
      <c r="F155">
        <v>14301.6</v>
      </c>
      <c r="G155" t="s">
        <v>12</v>
      </c>
      <c r="H155">
        <v>15000</v>
      </c>
      <c r="I155">
        <f t="shared" si="2"/>
        <v>0</v>
      </c>
    </row>
    <row r="156" spans="1:9" x14ac:dyDescent="0.3">
      <c r="A156" s="2">
        <v>45768</v>
      </c>
      <c r="B156" s="1" t="s">
        <v>41</v>
      </c>
      <c r="C156" t="s">
        <v>42</v>
      </c>
      <c r="D156" t="s">
        <v>43</v>
      </c>
      <c r="E156" t="s">
        <v>44</v>
      </c>
      <c r="F156">
        <v>12144</v>
      </c>
      <c r="G156" t="s">
        <v>10</v>
      </c>
      <c r="H156">
        <v>15000</v>
      </c>
      <c r="I156">
        <f t="shared" si="2"/>
        <v>0</v>
      </c>
    </row>
    <row r="157" spans="1:9" x14ac:dyDescent="0.3">
      <c r="A157" s="2">
        <v>45768</v>
      </c>
      <c r="B157" s="1" t="s">
        <v>54</v>
      </c>
      <c r="C157" t="s">
        <v>55</v>
      </c>
      <c r="D157" t="s">
        <v>56</v>
      </c>
      <c r="E157" t="s">
        <v>44</v>
      </c>
      <c r="F157">
        <v>12328</v>
      </c>
      <c r="G157" t="s">
        <v>10</v>
      </c>
      <c r="H157">
        <v>15000</v>
      </c>
      <c r="I157">
        <f t="shared" si="2"/>
        <v>0</v>
      </c>
    </row>
    <row r="158" spans="1:9" x14ac:dyDescent="0.3">
      <c r="A158" s="2">
        <v>45768</v>
      </c>
      <c r="B158" s="1" t="s">
        <v>51</v>
      </c>
      <c r="C158" t="s">
        <v>52</v>
      </c>
      <c r="D158" t="s">
        <v>53</v>
      </c>
      <c r="E158" t="s">
        <v>44</v>
      </c>
      <c r="F158">
        <v>13044.9</v>
      </c>
      <c r="G158" t="s">
        <v>9</v>
      </c>
      <c r="H158">
        <v>15000</v>
      </c>
      <c r="I158">
        <f t="shared" si="2"/>
        <v>0</v>
      </c>
    </row>
    <row r="159" spans="1:9" x14ac:dyDescent="0.3">
      <c r="A159" s="2">
        <v>45768</v>
      </c>
      <c r="B159" s="1" t="s">
        <v>48</v>
      </c>
      <c r="C159" t="s">
        <v>49</v>
      </c>
      <c r="D159" t="s">
        <v>50</v>
      </c>
      <c r="E159" t="s">
        <v>44</v>
      </c>
      <c r="F159">
        <v>13230</v>
      </c>
      <c r="G159" t="s">
        <v>10</v>
      </c>
      <c r="H159">
        <v>15000</v>
      </c>
      <c r="I159">
        <f t="shared" si="2"/>
        <v>0</v>
      </c>
    </row>
    <row r="160" spans="1:9" x14ac:dyDescent="0.3">
      <c r="A160" s="2">
        <v>45768</v>
      </c>
      <c r="B160" s="1" t="s">
        <v>41</v>
      </c>
      <c r="C160" t="s">
        <v>42</v>
      </c>
      <c r="D160" t="s">
        <v>43</v>
      </c>
      <c r="E160" t="s">
        <v>44</v>
      </c>
      <c r="F160">
        <v>13244.7</v>
      </c>
      <c r="G160" t="s">
        <v>9</v>
      </c>
      <c r="H160">
        <v>15000</v>
      </c>
      <c r="I160">
        <f t="shared" si="2"/>
        <v>0</v>
      </c>
    </row>
    <row r="161" spans="1:9" x14ac:dyDescent="0.3">
      <c r="A161" s="2">
        <v>45768</v>
      </c>
      <c r="B161" s="1" t="s">
        <v>54</v>
      </c>
      <c r="C161" t="s">
        <v>55</v>
      </c>
      <c r="D161" t="s">
        <v>56</v>
      </c>
      <c r="E161" t="s">
        <v>44</v>
      </c>
      <c r="F161">
        <v>13674</v>
      </c>
      <c r="G161" t="s">
        <v>10</v>
      </c>
      <c r="H161">
        <v>15000</v>
      </c>
      <c r="I161">
        <f t="shared" si="2"/>
        <v>0</v>
      </c>
    </row>
    <row r="162" spans="1:9" x14ac:dyDescent="0.3">
      <c r="A162" s="2">
        <v>45768</v>
      </c>
      <c r="B162" s="1" t="s">
        <v>45</v>
      </c>
      <c r="C162" t="s">
        <v>46</v>
      </c>
      <c r="D162" t="s">
        <v>47</v>
      </c>
      <c r="E162" t="s">
        <v>44</v>
      </c>
      <c r="F162">
        <v>13725.6</v>
      </c>
      <c r="G162" t="s">
        <v>12</v>
      </c>
      <c r="H162">
        <v>15000</v>
      </c>
      <c r="I162">
        <f t="shared" si="2"/>
        <v>0</v>
      </c>
    </row>
    <row r="163" spans="1:9" x14ac:dyDescent="0.3">
      <c r="A163" s="2">
        <v>45768</v>
      </c>
      <c r="B163" s="1" t="s">
        <v>41</v>
      </c>
      <c r="C163" t="s">
        <v>42</v>
      </c>
      <c r="D163" t="s">
        <v>43</v>
      </c>
      <c r="E163" t="s">
        <v>44</v>
      </c>
      <c r="F163">
        <v>13923</v>
      </c>
      <c r="G163" t="s">
        <v>12</v>
      </c>
      <c r="H163">
        <v>15000</v>
      </c>
      <c r="I163">
        <f t="shared" si="2"/>
        <v>0</v>
      </c>
    </row>
    <row r="164" spans="1:9" x14ac:dyDescent="0.3">
      <c r="A164" s="2">
        <v>45768</v>
      </c>
      <c r="B164" s="1" t="s">
        <v>22</v>
      </c>
      <c r="C164" t="s">
        <v>23</v>
      </c>
      <c r="D164" t="s">
        <v>24</v>
      </c>
      <c r="E164" t="s">
        <v>18</v>
      </c>
      <c r="F164">
        <v>12422.2</v>
      </c>
      <c r="G164" t="s">
        <v>12</v>
      </c>
      <c r="H164">
        <v>15000</v>
      </c>
      <c r="I164">
        <f t="shared" si="2"/>
        <v>0</v>
      </c>
    </row>
    <row r="165" spans="1:9" x14ac:dyDescent="0.3">
      <c r="A165" s="2">
        <v>45768</v>
      </c>
      <c r="B165" s="1" t="s">
        <v>22</v>
      </c>
      <c r="C165" t="s">
        <v>23</v>
      </c>
      <c r="D165" t="s">
        <v>24</v>
      </c>
      <c r="E165" t="s">
        <v>18</v>
      </c>
      <c r="F165">
        <v>12633.6</v>
      </c>
      <c r="G165" t="s">
        <v>10</v>
      </c>
      <c r="H165">
        <v>15000</v>
      </c>
      <c r="I165">
        <f t="shared" si="2"/>
        <v>0</v>
      </c>
    </row>
    <row r="166" spans="1:9" x14ac:dyDescent="0.3">
      <c r="A166" s="2">
        <v>45768</v>
      </c>
      <c r="B166" s="1" t="s">
        <v>25</v>
      </c>
      <c r="C166" t="s">
        <v>26</v>
      </c>
      <c r="D166" t="s">
        <v>27</v>
      </c>
      <c r="E166" t="s">
        <v>18</v>
      </c>
      <c r="F166">
        <v>12765.2</v>
      </c>
      <c r="G166" t="s">
        <v>12</v>
      </c>
      <c r="H166">
        <v>15000</v>
      </c>
      <c r="I166">
        <f t="shared" si="2"/>
        <v>0</v>
      </c>
    </row>
    <row r="167" spans="1:9" x14ac:dyDescent="0.3">
      <c r="A167" s="2">
        <v>45768</v>
      </c>
      <c r="B167" s="1" t="s">
        <v>25</v>
      </c>
      <c r="C167" t="s">
        <v>26</v>
      </c>
      <c r="D167" t="s">
        <v>27</v>
      </c>
      <c r="E167" t="s">
        <v>18</v>
      </c>
      <c r="F167">
        <v>12806.4</v>
      </c>
      <c r="G167" t="s">
        <v>12</v>
      </c>
      <c r="H167">
        <v>15000</v>
      </c>
      <c r="I167">
        <f t="shared" si="2"/>
        <v>0</v>
      </c>
    </row>
    <row r="168" spans="1:9" x14ac:dyDescent="0.3">
      <c r="A168" s="2">
        <v>45768</v>
      </c>
      <c r="B168" s="1" t="s">
        <v>22</v>
      </c>
      <c r="C168" t="s">
        <v>23</v>
      </c>
      <c r="D168" t="s">
        <v>24</v>
      </c>
      <c r="E168" t="s">
        <v>18</v>
      </c>
      <c r="F168">
        <v>13797</v>
      </c>
      <c r="G168" t="s">
        <v>9</v>
      </c>
      <c r="H168">
        <v>15000</v>
      </c>
      <c r="I168">
        <f t="shared" si="2"/>
        <v>0</v>
      </c>
    </row>
    <row r="169" spans="1:9" x14ac:dyDescent="0.3">
      <c r="A169" s="2">
        <v>45768</v>
      </c>
      <c r="B169" s="1" t="s">
        <v>68</v>
      </c>
      <c r="C169" t="s">
        <v>69</v>
      </c>
      <c r="D169" t="s">
        <v>70</v>
      </c>
      <c r="E169" t="s">
        <v>18</v>
      </c>
      <c r="F169">
        <v>14063</v>
      </c>
      <c r="G169" t="s">
        <v>10</v>
      </c>
      <c r="H169">
        <v>15000</v>
      </c>
      <c r="I169">
        <f t="shared" si="2"/>
        <v>0</v>
      </c>
    </row>
    <row r="170" spans="1:9" x14ac:dyDescent="0.3">
      <c r="A170" s="2">
        <v>45768</v>
      </c>
      <c r="B170" s="1" t="s">
        <v>22</v>
      </c>
      <c r="C170" t="s">
        <v>23</v>
      </c>
      <c r="D170" t="s">
        <v>24</v>
      </c>
      <c r="E170" t="s">
        <v>18</v>
      </c>
      <c r="F170">
        <v>14608.3</v>
      </c>
      <c r="G170" t="s">
        <v>9</v>
      </c>
      <c r="H170">
        <v>15000</v>
      </c>
      <c r="I170">
        <f t="shared" si="2"/>
        <v>0</v>
      </c>
    </row>
    <row r="171" spans="1:9" x14ac:dyDescent="0.3">
      <c r="A171" s="2">
        <v>45768</v>
      </c>
      <c r="B171" s="1" t="s">
        <v>68</v>
      </c>
      <c r="C171" t="s">
        <v>69</v>
      </c>
      <c r="D171" t="s">
        <v>70</v>
      </c>
      <c r="E171" t="s">
        <v>18</v>
      </c>
      <c r="F171">
        <v>14670</v>
      </c>
      <c r="G171" t="s">
        <v>9</v>
      </c>
      <c r="H171">
        <v>15000</v>
      </c>
      <c r="I171">
        <f t="shared" si="2"/>
        <v>0</v>
      </c>
    </row>
    <row r="172" spans="1:9" x14ac:dyDescent="0.3">
      <c r="A172" s="2">
        <v>45768</v>
      </c>
      <c r="B172" s="1" t="s">
        <v>62</v>
      </c>
      <c r="C172" t="s">
        <v>13</v>
      </c>
      <c r="D172" t="s">
        <v>63</v>
      </c>
      <c r="E172" t="s">
        <v>8</v>
      </c>
      <c r="F172">
        <v>11543</v>
      </c>
      <c r="G172" t="s">
        <v>9</v>
      </c>
      <c r="H172">
        <v>15000</v>
      </c>
      <c r="I172">
        <f t="shared" si="2"/>
        <v>0</v>
      </c>
    </row>
    <row r="173" spans="1:9" x14ac:dyDescent="0.3">
      <c r="A173" s="2">
        <v>45768</v>
      </c>
      <c r="B173" s="1" t="s">
        <v>57</v>
      </c>
      <c r="C173" t="s">
        <v>58</v>
      </c>
      <c r="D173" t="s">
        <v>59</v>
      </c>
      <c r="E173" t="s">
        <v>8</v>
      </c>
      <c r="F173">
        <v>11580.4</v>
      </c>
      <c r="G173" t="s">
        <v>10</v>
      </c>
      <c r="H173">
        <v>15000</v>
      </c>
      <c r="I173">
        <f t="shared" si="2"/>
        <v>0</v>
      </c>
    </row>
    <row r="174" spans="1:9" x14ac:dyDescent="0.3">
      <c r="A174" s="2">
        <v>45768</v>
      </c>
      <c r="B174" s="1" t="s">
        <v>57</v>
      </c>
      <c r="C174" t="s">
        <v>58</v>
      </c>
      <c r="D174" t="s">
        <v>59</v>
      </c>
      <c r="E174" t="s">
        <v>8</v>
      </c>
      <c r="F174">
        <v>11716.5</v>
      </c>
      <c r="G174" t="s">
        <v>9</v>
      </c>
      <c r="H174">
        <v>15000</v>
      </c>
      <c r="I174">
        <f t="shared" si="2"/>
        <v>0</v>
      </c>
    </row>
    <row r="175" spans="1:9" x14ac:dyDescent="0.3">
      <c r="A175" s="2">
        <v>45768</v>
      </c>
      <c r="B175" s="1" t="s">
        <v>64</v>
      </c>
      <c r="C175" t="s">
        <v>11</v>
      </c>
      <c r="D175" t="s">
        <v>65</v>
      </c>
      <c r="E175" t="s">
        <v>8</v>
      </c>
      <c r="F175">
        <v>14235.4</v>
      </c>
      <c r="G175" t="s">
        <v>12</v>
      </c>
      <c r="H175">
        <v>15000</v>
      </c>
      <c r="I175">
        <f t="shared" si="2"/>
        <v>0</v>
      </c>
    </row>
    <row r="176" spans="1:9" x14ac:dyDescent="0.3">
      <c r="A176" s="2">
        <v>45768</v>
      </c>
      <c r="B176" s="1" t="s">
        <v>62</v>
      </c>
      <c r="C176" t="s">
        <v>13</v>
      </c>
      <c r="D176" t="s">
        <v>63</v>
      </c>
      <c r="E176" t="s">
        <v>8</v>
      </c>
      <c r="F176">
        <v>14301.6</v>
      </c>
      <c r="G176" t="s">
        <v>10</v>
      </c>
      <c r="H176">
        <v>15000</v>
      </c>
      <c r="I176">
        <f t="shared" si="2"/>
        <v>0</v>
      </c>
    </row>
    <row r="177" spans="1:9" x14ac:dyDescent="0.3">
      <c r="A177" s="2">
        <v>45768</v>
      </c>
      <c r="B177" s="1" t="s">
        <v>62</v>
      </c>
      <c r="C177" t="s">
        <v>13</v>
      </c>
      <c r="D177" t="s">
        <v>63</v>
      </c>
      <c r="E177" t="s">
        <v>8</v>
      </c>
      <c r="F177">
        <v>14302.9</v>
      </c>
      <c r="G177" t="s">
        <v>9</v>
      </c>
      <c r="H177">
        <v>15000</v>
      </c>
      <c r="I177">
        <f t="shared" si="2"/>
        <v>0</v>
      </c>
    </row>
    <row r="178" spans="1:9" x14ac:dyDescent="0.3">
      <c r="A178" s="2">
        <v>45772</v>
      </c>
      <c r="B178" s="1" t="s">
        <v>38</v>
      </c>
      <c r="C178" t="s">
        <v>39</v>
      </c>
      <c r="D178" t="s">
        <v>40</v>
      </c>
      <c r="E178" t="s">
        <v>31</v>
      </c>
      <c r="F178">
        <v>14392</v>
      </c>
      <c r="G178" t="s">
        <v>9</v>
      </c>
      <c r="H178">
        <v>15000</v>
      </c>
      <c r="I178">
        <f t="shared" si="2"/>
        <v>0</v>
      </c>
    </row>
    <row r="179" spans="1:9" x14ac:dyDescent="0.3">
      <c r="A179" s="2">
        <v>45772</v>
      </c>
      <c r="B179" s="1" t="s">
        <v>32</v>
      </c>
      <c r="C179" t="s">
        <v>33</v>
      </c>
      <c r="D179" t="s">
        <v>34</v>
      </c>
      <c r="E179" t="s">
        <v>31</v>
      </c>
      <c r="F179">
        <v>15246</v>
      </c>
      <c r="G179" t="s">
        <v>9</v>
      </c>
      <c r="H179">
        <v>15000</v>
      </c>
      <c r="I179">
        <f t="shared" si="2"/>
        <v>1524.6000000000001</v>
      </c>
    </row>
    <row r="180" spans="1:9" x14ac:dyDescent="0.3">
      <c r="A180" s="2">
        <v>45772</v>
      </c>
      <c r="B180" s="1" t="s">
        <v>15</v>
      </c>
      <c r="C180" t="s">
        <v>16</v>
      </c>
      <c r="D180" t="s">
        <v>17</v>
      </c>
      <c r="E180" t="s">
        <v>18</v>
      </c>
      <c r="F180">
        <v>15029</v>
      </c>
      <c r="G180" t="s">
        <v>10</v>
      </c>
      <c r="H180">
        <v>15000</v>
      </c>
      <c r="I180">
        <f t="shared" si="2"/>
        <v>1502.9</v>
      </c>
    </row>
    <row r="181" spans="1:9" x14ac:dyDescent="0.3">
      <c r="A181" s="2">
        <v>45772</v>
      </c>
      <c r="B181" s="1" t="s">
        <v>25</v>
      </c>
      <c r="C181" t="s">
        <v>26</v>
      </c>
      <c r="D181" t="s">
        <v>27</v>
      </c>
      <c r="E181" t="s">
        <v>18</v>
      </c>
      <c r="F181">
        <v>15120</v>
      </c>
      <c r="G181" t="s">
        <v>10</v>
      </c>
      <c r="H181">
        <v>15000</v>
      </c>
      <c r="I181">
        <f t="shared" si="2"/>
        <v>1512</v>
      </c>
    </row>
    <row r="182" spans="1:9" x14ac:dyDescent="0.3">
      <c r="A182" s="2">
        <v>45772</v>
      </c>
      <c r="B182" s="1" t="s">
        <v>15</v>
      </c>
      <c r="C182" t="s">
        <v>16</v>
      </c>
      <c r="D182" t="s">
        <v>17</v>
      </c>
      <c r="E182" t="s">
        <v>18</v>
      </c>
      <c r="F182">
        <v>15264</v>
      </c>
      <c r="G182" t="s">
        <v>10</v>
      </c>
      <c r="H182">
        <v>15000</v>
      </c>
      <c r="I182">
        <f t="shared" si="2"/>
        <v>1526.4</v>
      </c>
    </row>
    <row r="183" spans="1:9" x14ac:dyDescent="0.3">
      <c r="A183" s="2">
        <v>45772</v>
      </c>
      <c r="B183" s="1" t="s">
        <v>15</v>
      </c>
      <c r="C183" t="s">
        <v>16</v>
      </c>
      <c r="D183" t="s">
        <v>17</v>
      </c>
      <c r="E183" t="s">
        <v>18</v>
      </c>
      <c r="F183">
        <v>15919.7</v>
      </c>
      <c r="G183" t="s">
        <v>9</v>
      </c>
      <c r="H183">
        <v>15000</v>
      </c>
      <c r="I183">
        <f t="shared" si="2"/>
        <v>1591.9700000000003</v>
      </c>
    </row>
    <row r="184" spans="1:9" x14ac:dyDescent="0.3">
      <c r="A184" s="2">
        <v>45772</v>
      </c>
      <c r="B184" s="1" t="s">
        <v>19</v>
      </c>
      <c r="C184" t="s">
        <v>20</v>
      </c>
      <c r="D184" t="s">
        <v>21</v>
      </c>
      <c r="E184" t="s">
        <v>18</v>
      </c>
      <c r="F184">
        <v>15922</v>
      </c>
      <c r="G184" t="s">
        <v>12</v>
      </c>
      <c r="H184">
        <v>15000</v>
      </c>
      <c r="I184">
        <f t="shared" si="2"/>
        <v>1592.2</v>
      </c>
    </row>
    <row r="185" spans="1:9" x14ac:dyDescent="0.3">
      <c r="A185" s="2">
        <v>45798</v>
      </c>
      <c r="B185" s="1" t="s">
        <v>32</v>
      </c>
      <c r="C185" t="s">
        <v>33</v>
      </c>
      <c r="D185" t="s">
        <v>34</v>
      </c>
      <c r="E185" t="s">
        <v>31</v>
      </c>
      <c r="F185">
        <v>15802.6</v>
      </c>
      <c r="G185" t="s">
        <v>12</v>
      </c>
      <c r="H185">
        <v>15000</v>
      </c>
      <c r="I185">
        <f t="shared" si="2"/>
        <v>1580.2600000000002</v>
      </c>
    </row>
    <row r="186" spans="1:9" x14ac:dyDescent="0.3">
      <c r="A186" s="2">
        <v>45798</v>
      </c>
      <c r="B186" s="1" t="s">
        <v>35</v>
      </c>
      <c r="C186" t="s">
        <v>36</v>
      </c>
      <c r="D186" t="s">
        <v>37</v>
      </c>
      <c r="E186" t="s">
        <v>31</v>
      </c>
      <c r="F186">
        <v>15957.2</v>
      </c>
      <c r="G186" t="s">
        <v>12</v>
      </c>
      <c r="H186">
        <v>15000</v>
      </c>
      <c r="I186">
        <f t="shared" si="2"/>
        <v>1595.7200000000003</v>
      </c>
    </row>
    <row r="187" spans="1:9" x14ac:dyDescent="0.3">
      <c r="A187" s="2">
        <v>45798</v>
      </c>
      <c r="B187" s="1" t="s">
        <v>32</v>
      </c>
      <c r="C187" t="s">
        <v>33</v>
      </c>
      <c r="D187" t="s">
        <v>34</v>
      </c>
      <c r="E187" t="s">
        <v>31</v>
      </c>
      <c r="F187">
        <v>16036.8</v>
      </c>
      <c r="G187" t="s">
        <v>10</v>
      </c>
      <c r="H187">
        <v>15000</v>
      </c>
      <c r="I187">
        <f t="shared" si="2"/>
        <v>1603.68</v>
      </c>
    </row>
    <row r="188" spans="1:9" x14ac:dyDescent="0.3">
      <c r="A188" s="2">
        <v>45798</v>
      </c>
      <c r="B188" s="1" t="s">
        <v>32</v>
      </c>
      <c r="C188" t="s">
        <v>33</v>
      </c>
      <c r="D188" t="s">
        <v>34</v>
      </c>
      <c r="E188" t="s">
        <v>31</v>
      </c>
      <c r="F188">
        <v>16077</v>
      </c>
      <c r="G188" t="s">
        <v>10</v>
      </c>
      <c r="H188">
        <v>15000</v>
      </c>
      <c r="I188">
        <f t="shared" si="2"/>
        <v>1607.7</v>
      </c>
    </row>
    <row r="189" spans="1:9" x14ac:dyDescent="0.3">
      <c r="A189" s="2">
        <v>45798</v>
      </c>
      <c r="B189" s="1" t="s">
        <v>71</v>
      </c>
      <c r="C189" t="s">
        <v>72</v>
      </c>
      <c r="D189" t="s">
        <v>73</v>
      </c>
      <c r="E189" t="s">
        <v>31</v>
      </c>
      <c r="F189">
        <v>16492</v>
      </c>
      <c r="G189" t="s">
        <v>9</v>
      </c>
      <c r="H189">
        <v>15000</v>
      </c>
      <c r="I189">
        <f t="shared" si="2"/>
        <v>1649.2</v>
      </c>
    </row>
    <row r="190" spans="1:9" x14ac:dyDescent="0.3">
      <c r="A190" s="2">
        <v>45798</v>
      </c>
      <c r="B190" s="1" t="s">
        <v>28</v>
      </c>
      <c r="C190" t="s">
        <v>29</v>
      </c>
      <c r="D190" t="s">
        <v>30</v>
      </c>
      <c r="E190" t="s">
        <v>31</v>
      </c>
      <c r="F190">
        <v>16604.400000000001</v>
      </c>
      <c r="G190" t="s">
        <v>10</v>
      </c>
      <c r="H190">
        <v>15000</v>
      </c>
      <c r="I190">
        <f t="shared" si="2"/>
        <v>1660.4400000000003</v>
      </c>
    </row>
    <row r="191" spans="1:9" x14ac:dyDescent="0.3">
      <c r="A191" s="2">
        <v>45798</v>
      </c>
      <c r="B191" s="1" t="s">
        <v>28</v>
      </c>
      <c r="C191" t="s">
        <v>29</v>
      </c>
      <c r="D191" t="s">
        <v>30</v>
      </c>
      <c r="E191" t="s">
        <v>31</v>
      </c>
      <c r="F191">
        <v>16702.400000000001</v>
      </c>
      <c r="G191" t="s">
        <v>10</v>
      </c>
      <c r="H191">
        <v>15000</v>
      </c>
      <c r="I191">
        <f t="shared" si="2"/>
        <v>1670.2400000000002</v>
      </c>
    </row>
    <row r="192" spans="1:9" x14ac:dyDescent="0.3">
      <c r="A192" s="2">
        <v>45798</v>
      </c>
      <c r="B192" s="1" t="s">
        <v>38</v>
      </c>
      <c r="C192" t="s">
        <v>39</v>
      </c>
      <c r="D192" t="s">
        <v>40</v>
      </c>
      <c r="E192" t="s">
        <v>31</v>
      </c>
      <c r="F192">
        <v>16846.8</v>
      </c>
      <c r="G192" t="s">
        <v>10</v>
      </c>
      <c r="H192">
        <v>15000</v>
      </c>
      <c r="I192">
        <f t="shared" si="2"/>
        <v>1684.68</v>
      </c>
    </row>
    <row r="193" spans="1:9" x14ac:dyDescent="0.3">
      <c r="A193" s="2">
        <v>45798</v>
      </c>
      <c r="B193" s="1" t="s">
        <v>38</v>
      </c>
      <c r="C193" t="s">
        <v>39</v>
      </c>
      <c r="D193" t="s">
        <v>40</v>
      </c>
      <c r="E193" t="s">
        <v>31</v>
      </c>
      <c r="F193">
        <v>17204.400000000001</v>
      </c>
      <c r="G193" t="s">
        <v>9</v>
      </c>
      <c r="H193">
        <v>15000</v>
      </c>
      <c r="I193">
        <f t="shared" si="2"/>
        <v>1720.4400000000003</v>
      </c>
    </row>
    <row r="194" spans="1:9" x14ac:dyDescent="0.3">
      <c r="A194" s="2">
        <v>45798</v>
      </c>
      <c r="B194" s="1" t="s">
        <v>38</v>
      </c>
      <c r="C194" t="s">
        <v>39</v>
      </c>
      <c r="D194" t="s">
        <v>40</v>
      </c>
      <c r="E194" t="s">
        <v>31</v>
      </c>
      <c r="F194">
        <v>17335.2</v>
      </c>
      <c r="G194" t="s">
        <v>12</v>
      </c>
      <c r="H194">
        <v>15000</v>
      </c>
      <c r="I194">
        <f t="shared" si="2"/>
        <v>1733.5200000000002</v>
      </c>
    </row>
    <row r="195" spans="1:9" x14ac:dyDescent="0.3">
      <c r="A195" s="2">
        <v>45798</v>
      </c>
      <c r="B195" s="1" t="s">
        <v>45</v>
      </c>
      <c r="C195" t="s">
        <v>46</v>
      </c>
      <c r="D195" t="s">
        <v>47</v>
      </c>
      <c r="E195" t="s">
        <v>44</v>
      </c>
      <c r="F195">
        <v>14311.2</v>
      </c>
      <c r="G195" t="s">
        <v>9</v>
      </c>
      <c r="H195">
        <v>15000</v>
      </c>
      <c r="I195">
        <f t="shared" ref="I195:I258" si="3">IF(F195&gt;=H195,0.1*F195,0)</f>
        <v>0</v>
      </c>
    </row>
    <row r="196" spans="1:9" x14ac:dyDescent="0.3">
      <c r="A196" s="2">
        <v>45798</v>
      </c>
      <c r="B196" s="1" t="s">
        <v>45</v>
      </c>
      <c r="C196" t="s">
        <v>46</v>
      </c>
      <c r="D196" t="s">
        <v>47</v>
      </c>
      <c r="E196" t="s">
        <v>44</v>
      </c>
      <c r="F196">
        <v>14616</v>
      </c>
      <c r="G196" t="s">
        <v>10</v>
      </c>
      <c r="H196">
        <v>15000</v>
      </c>
      <c r="I196">
        <f t="shared" si="3"/>
        <v>0</v>
      </c>
    </row>
    <row r="197" spans="1:9" x14ac:dyDescent="0.3">
      <c r="A197" s="2">
        <v>45798</v>
      </c>
      <c r="B197" s="1" t="s">
        <v>45</v>
      </c>
      <c r="C197" t="s">
        <v>46</v>
      </c>
      <c r="D197" t="s">
        <v>47</v>
      </c>
      <c r="E197" t="s">
        <v>44</v>
      </c>
      <c r="F197">
        <v>14715.2</v>
      </c>
      <c r="G197" t="s">
        <v>10</v>
      </c>
      <c r="H197">
        <v>15000</v>
      </c>
      <c r="I197">
        <f t="shared" si="3"/>
        <v>0</v>
      </c>
    </row>
    <row r="198" spans="1:9" x14ac:dyDescent="0.3">
      <c r="A198" s="2">
        <v>45798</v>
      </c>
      <c r="B198" s="1" t="s">
        <v>41</v>
      </c>
      <c r="C198" t="s">
        <v>42</v>
      </c>
      <c r="D198" t="s">
        <v>43</v>
      </c>
      <c r="E198" t="s">
        <v>44</v>
      </c>
      <c r="F198">
        <v>15262.8</v>
      </c>
      <c r="G198" t="s">
        <v>12</v>
      </c>
      <c r="H198">
        <v>15000</v>
      </c>
      <c r="I198">
        <f t="shared" si="3"/>
        <v>1526.28</v>
      </c>
    </row>
    <row r="199" spans="1:9" x14ac:dyDescent="0.3">
      <c r="A199" s="2">
        <v>45798</v>
      </c>
      <c r="B199" s="1" t="s">
        <v>48</v>
      </c>
      <c r="C199" t="s">
        <v>49</v>
      </c>
      <c r="D199" t="s">
        <v>50</v>
      </c>
      <c r="E199" t="s">
        <v>44</v>
      </c>
      <c r="F199">
        <v>15353.2</v>
      </c>
      <c r="G199" t="s">
        <v>9</v>
      </c>
      <c r="H199">
        <v>15000</v>
      </c>
      <c r="I199">
        <f t="shared" si="3"/>
        <v>1535.3200000000002</v>
      </c>
    </row>
    <row r="200" spans="1:9" x14ac:dyDescent="0.3">
      <c r="A200" s="2">
        <v>45798</v>
      </c>
      <c r="B200" s="1" t="s">
        <v>41</v>
      </c>
      <c r="C200" t="s">
        <v>42</v>
      </c>
      <c r="D200" t="s">
        <v>43</v>
      </c>
      <c r="E200" t="s">
        <v>44</v>
      </c>
      <c r="F200">
        <v>15403.6</v>
      </c>
      <c r="G200" t="s">
        <v>10</v>
      </c>
      <c r="H200">
        <v>15000</v>
      </c>
      <c r="I200">
        <f t="shared" si="3"/>
        <v>1540.3600000000001</v>
      </c>
    </row>
    <row r="201" spans="1:9" x14ac:dyDescent="0.3">
      <c r="A201" s="2">
        <v>45798</v>
      </c>
      <c r="B201" s="1" t="s">
        <v>45</v>
      </c>
      <c r="C201" t="s">
        <v>46</v>
      </c>
      <c r="D201" t="s">
        <v>47</v>
      </c>
      <c r="E201" t="s">
        <v>44</v>
      </c>
      <c r="F201">
        <v>15953.6</v>
      </c>
      <c r="G201" t="s">
        <v>10</v>
      </c>
      <c r="H201">
        <v>15000</v>
      </c>
      <c r="I201">
        <f t="shared" si="3"/>
        <v>1595.3600000000001</v>
      </c>
    </row>
    <row r="202" spans="1:9" x14ac:dyDescent="0.3">
      <c r="A202" s="2">
        <v>45798</v>
      </c>
      <c r="B202" s="1" t="s">
        <v>25</v>
      </c>
      <c r="C202" t="s">
        <v>26</v>
      </c>
      <c r="D202" t="s">
        <v>27</v>
      </c>
      <c r="E202" t="s">
        <v>18</v>
      </c>
      <c r="F202">
        <v>16063.2</v>
      </c>
      <c r="G202" t="s">
        <v>10</v>
      </c>
      <c r="H202">
        <v>15000</v>
      </c>
      <c r="I202">
        <f t="shared" si="3"/>
        <v>1606.3200000000002</v>
      </c>
    </row>
    <row r="203" spans="1:9" x14ac:dyDescent="0.3">
      <c r="A203" s="2">
        <v>45798</v>
      </c>
      <c r="B203" s="1" t="s">
        <v>68</v>
      </c>
      <c r="C203" t="s">
        <v>69</v>
      </c>
      <c r="D203" t="s">
        <v>70</v>
      </c>
      <c r="E203" t="s">
        <v>18</v>
      </c>
      <c r="F203">
        <v>16321.6</v>
      </c>
      <c r="G203" t="s">
        <v>9</v>
      </c>
      <c r="H203">
        <v>15000</v>
      </c>
      <c r="I203">
        <f t="shared" si="3"/>
        <v>1632.16</v>
      </c>
    </row>
    <row r="204" spans="1:9" x14ac:dyDescent="0.3">
      <c r="A204" s="2">
        <v>45798</v>
      </c>
      <c r="B204" s="1" t="s">
        <v>19</v>
      </c>
      <c r="C204" t="s">
        <v>20</v>
      </c>
      <c r="D204" t="s">
        <v>21</v>
      </c>
      <c r="E204" t="s">
        <v>18</v>
      </c>
      <c r="F204">
        <v>16604.400000000001</v>
      </c>
      <c r="G204" t="s">
        <v>12</v>
      </c>
      <c r="H204">
        <v>15000</v>
      </c>
      <c r="I204">
        <f t="shared" si="3"/>
        <v>1660.4400000000003</v>
      </c>
    </row>
    <row r="205" spans="1:9" x14ac:dyDescent="0.3">
      <c r="A205" s="2">
        <v>45798</v>
      </c>
      <c r="B205" s="1" t="s">
        <v>25</v>
      </c>
      <c r="C205" t="s">
        <v>26</v>
      </c>
      <c r="D205" t="s">
        <v>27</v>
      </c>
      <c r="E205" t="s">
        <v>18</v>
      </c>
      <c r="F205">
        <v>16606</v>
      </c>
      <c r="G205" t="s">
        <v>9</v>
      </c>
      <c r="H205">
        <v>15000</v>
      </c>
      <c r="I205">
        <f t="shared" si="3"/>
        <v>1660.6000000000001</v>
      </c>
    </row>
    <row r="206" spans="1:9" x14ac:dyDescent="0.3">
      <c r="A206" s="2">
        <v>45798</v>
      </c>
      <c r="B206" s="1" t="s">
        <v>15</v>
      </c>
      <c r="C206" t="s">
        <v>16</v>
      </c>
      <c r="D206" t="s">
        <v>17</v>
      </c>
      <c r="E206" t="s">
        <v>18</v>
      </c>
      <c r="F206">
        <v>16614.400000000001</v>
      </c>
      <c r="G206" t="s">
        <v>9</v>
      </c>
      <c r="H206">
        <v>15000</v>
      </c>
      <c r="I206">
        <f t="shared" si="3"/>
        <v>1661.4400000000003</v>
      </c>
    </row>
    <row r="207" spans="1:9" x14ac:dyDescent="0.3">
      <c r="A207" s="2">
        <v>45798</v>
      </c>
      <c r="B207" s="1" t="s">
        <v>19</v>
      </c>
      <c r="C207" t="s">
        <v>20</v>
      </c>
      <c r="D207" t="s">
        <v>21</v>
      </c>
      <c r="E207" t="s">
        <v>18</v>
      </c>
      <c r="F207">
        <v>16836</v>
      </c>
      <c r="G207" t="s">
        <v>9</v>
      </c>
      <c r="H207">
        <v>15000</v>
      </c>
      <c r="I207">
        <f t="shared" si="3"/>
        <v>1683.6000000000001</v>
      </c>
    </row>
    <row r="208" spans="1:9" x14ac:dyDescent="0.3">
      <c r="A208" s="2">
        <v>45798</v>
      </c>
      <c r="B208" s="1" t="s">
        <v>15</v>
      </c>
      <c r="C208" t="s">
        <v>16</v>
      </c>
      <c r="D208" t="s">
        <v>17</v>
      </c>
      <c r="E208" t="s">
        <v>18</v>
      </c>
      <c r="F208">
        <v>17353.599999999999</v>
      </c>
      <c r="G208" t="s">
        <v>9</v>
      </c>
      <c r="H208">
        <v>15000</v>
      </c>
      <c r="I208">
        <f t="shared" si="3"/>
        <v>1735.36</v>
      </c>
    </row>
    <row r="209" spans="1:9" x14ac:dyDescent="0.3">
      <c r="A209" s="2">
        <v>45798</v>
      </c>
      <c r="B209" s="1" t="s">
        <v>19</v>
      </c>
      <c r="C209" t="s">
        <v>20</v>
      </c>
      <c r="D209" t="s">
        <v>21</v>
      </c>
      <c r="E209" t="s">
        <v>18</v>
      </c>
      <c r="F209">
        <v>17766</v>
      </c>
      <c r="G209" t="s">
        <v>9</v>
      </c>
      <c r="H209">
        <v>15000</v>
      </c>
      <c r="I209">
        <f t="shared" si="3"/>
        <v>1776.6000000000001</v>
      </c>
    </row>
    <row r="210" spans="1:9" x14ac:dyDescent="0.3">
      <c r="A210" s="2">
        <v>45798</v>
      </c>
      <c r="B210" s="1" t="s">
        <v>22</v>
      </c>
      <c r="C210" t="s">
        <v>23</v>
      </c>
      <c r="D210" t="s">
        <v>24</v>
      </c>
      <c r="E210" t="s">
        <v>18</v>
      </c>
      <c r="F210">
        <v>17776</v>
      </c>
      <c r="G210" t="s">
        <v>12</v>
      </c>
      <c r="H210">
        <v>15000</v>
      </c>
      <c r="I210">
        <f t="shared" si="3"/>
        <v>1777.6000000000001</v>
      </c>
    </row>
    <row r="211" spans="1:9" x14ac:dyDescent="0.3">
      <c r="A211" s="2">
        <v>45798</v>
      </c>
      <c r="B211" s="1" t="s">
        <v>22</v>
      </c>
      <c r="C211" t="s">
        <v>23</v>
      </c>
      <c r="D211" t="s">
        <v>24</v>
      </c>
      <c r="E211" t="s">
        <v>18</v>
      </c>
      <c r="F211">
        <v>17904.7</v>
      </c>
      <c r="G211" t="s">
        <v>12</v>
      </c>
      <c r="H211">
        <v>15000</v>
      </c>
      <c r="I211">
        <f t="shared" si="3"/>
        <v>1790.4700000000003</v>
      </c>
    </row>
    <row r="212" spans="1:9" x14ac:dyDescent="0.3">
      <c r="A212" s="2">
        <v>45798</v>
      </c>
      <c r="B212" s="1" t="s">
        <v>15</v>
      </c>
      <c r="C212" t="s">
        <v>16</v>
      </c>
      <c r="D212" t="s">
        <v>17</v>
      </c>
      <c r="E212" t="s">
        <v>18</v>
      </c>
      <c r="F212">
        <v>18396.7</v>
      </c>
      <c r="G212" t="s">
        <v>9</v>
      </c>
      <c r="H212">
        <v>15000</v>
      </c>
      <c r="I212">
        <f t="shared" si="3"/>
        <v>1839.67</v>
      </c>
    </row>
    <row r="213" spans="1:9" x14ac:dyDescent="0.3">
      <c r="A213" s="2">
        <v>45798</v>
      </c>
      <c r="B213" s="1" t="s">
        <v>62</v>
      </c>
      <c r="C213" t="s">
        <v>13</v>
      </c>
      <c r="D213" t="s">
        <v>63</v>
      </c>
      <c r="E213" t="s">
        <v>8</v>
      </c>
      <c r="F213">
        <v>14329.5</v>
      </c>
      <c r="G213" t="s">
        <v>9</v>
      </c>
      <c r="H213">
        <v>15000</v>
      </c>
      <c r="I213">
        <f t="shared" si="3"/>
        <v>0</v>
      </c>
    </row>
    <row r="214" spans="1:9" x14ac:dyDescent="0.3">
      <c r="A214" s="2">
        <v>45798</v>
      </c>
      <c r="B214" s="1" t="s">
        <v>66</v>
      </c>
      <c r="C214" t="s">
        <v>7</v>
      </c>
      <c r="D214" t="s">
        <v>67</v>
      </c>
      <c r="E214" t="s">
        <v>8</v>
      </c>
      <c r="F214">
        <v>14416</v>
      </c>
      <c r="G214" t="s">
        <v>12</v>
      </c>
      <c r="H214">
        <v>15000</v>
      </c>
      <c r="I214">
        <f t="shared" si="3"/>
        <v>0</v>
      </c>
    </row>
    <row r="215" spans="1:9" x14ac:dyDescent="0.3">
      <c r="A215" s="2">
        <v>45798</v>
      </c>
      <c r="B215" s="1" t="s">
        <v>60</v>
      </c>
      <c r="C215" t="s">
        <v>14</v>
      </c>
      <c r="D215" t="s">
        <v>61</v>
      </c>
      <c r="E215" t="s">
        <v>8</v>
      </c>
      <c r="F215">
        <v>15061.2</v>
      </c>
      <c r="G215" t="s">
        <v>10</v>
      </c>
      <c r="H215">
        <v>15000</v>
      </c>
      <c r="I215">
        <f t="shared" si="3"/>
        <v>1506.1200000000001</v>
      </c>
    </row>
    <row r="216" spans="1:9" x14ac:dyDescent="0.3">
      <c r="A216" s="2">
        <v>45798</v>
      </c>
      <c r="B216" s="1" t="s">
        <v>57</v>
      </c>
      <c r="C216" t="s">
        <v>58</v>
      </c>
      <c r="D216" t="s">
        <v>59</v>
      </c>
      <c r="E216" t="s">
        <v>8</v>
      </c>
      <c r="F216">
        <v>15152.4</v>
      </c>
      <c r="G216" t="s">
        <v>12</v>
      </c>
      <c r="H216">
        <v>15000</v>
      </c>
      <c r="I216">
        <f t="shared" si="3"/>
        <v>1515.24</v>
      </c>
    </row>
    <row r="217" spans="1:9" x14ac:dyDescent="0.3">
      <c r="A217" s="2">
        <v>45798</v>
      </c>
      <c r="B217" s="1" t="s">
        <v>62</v>
      </c>
      <c r="C217" t="s">
        <v>13</v>
      </c>
      <c r="D217" t="s">
        <v>63</v>
      </c>
      <c r="E217" t="s">
        <v>8</v>
      </c>
      <c r="F217">
        <v>15633.2</v>
      </c>
      <c r="G217" t="s">
        <v>10</v>
      </c>
      <c r="H217">
        <v>15000</v>
      </c>
      <c r="I217">
        <f t="shared" si="3"/>
        <v>1563.3200000000002</v>
      </c>
    </row>
    <row r="218" spans="1:9" x14ac:dyDescent="0.3">
      <c r="A218" s="2">
        <v>45798</v>
      </c>
      <c r="B218" s="1" t="s">
        <v>66</v>
      </c>
      <c r="C218" t="s">
        <v>7</v>
      </c>
      <c r="D218" t="s">
        <v>67</v>
      </c>
      <c r="E218" t="s">
        <v>8</v>
      </c>
      <c r="F218">
        <v>15670.2</v>
      </c>
      <c r="G218" t="s">
        <v>12</v>
      </c>
      <c r="H218">
        <v>15000</v>
      </c>
      <c r="I218">
        <f t="shared" si="3"/>
        <v>1567.0200000000002</v>
      </c>
    </row>
    <row r="219" spans="1:9" x14ac:dyDescent="0.3">
      <c r="A219" s="2">
        <v>45829</v>
      </c>
      <c r="B219" s="1" t="s">
        <v>32</v>
      </c>
      <c r="C219" t="s">
        <v>33</v>
      </c>
      <c r="D219" t="s">
        <v>34</v>
      </c>
      <c r="E219" t="s">
        <v>31</v>
      </c>
      <c r="F219">
        <v>18298.400000000001</v>
      </c>
      <c r="G219" t="s">
        <v>12</v>
      </c>
      <c r="H219">
        <v>15000</v>
      </c>
      <c r="I219">
        <f t="shared" si="3"/>
        <v>1829.8400000000001</v>
      </c>
    </row>
    <row r="220" spans="1:9" x14ac:dyDescent="0.3">
      <c r="A220" s="2">
        <v>45829</v>
      </c>
      <c r="B220" s="1" t="s">
        <v>45</v>
      </c>
      <c r="C220" t="s">
        <v>46</v>
      </c>
      <c r="D220" t="s">
        <v>47</v>
      </c>
      <c r="E220" t="s">
        <v>44</v>
      </c>
      <c r="F220">
        <v>16394.400000000001</v>
      </c>
      <c r="G220" t="s">
        <v>10</v>
      </c>
      <c r="H220">
        <v>15000</v>
      </c>
      <c r="I220">
        <f t="shared" si="3"/>
        <v>1639.4400000000003</v>
      </c>
    </row>
    <row r="221" spans="1:9" x14ac:dyDescent="0.3">
      <c r="A221" s="2">
        <v>45829</v>
      </c>
      <c r="B221" s="1" t="s">
        <v>45</v>
      </c>
      <c r="C221" t="s">
        <v>46</v>
      </c>
      <c r="D221" t="s">
        <v>47</v>
      </c>
      <c r="E221" t="s">
        <v>44</v>
      </c>
      <c r="F221">
        <v>16606</v>
      </c>
      <c r="G221" t="s">
        <v>12</v>
      </c>
      <c r="H221">
        <v>15000</v>
      </c>
      <c r="I221">
        <f t="shared" si="3"/>
        <v>1660.6000000000001</v>
      </c>
    </row>
    <row r="222" spans="1:9" x14ac:dyDescent="0.3">
      <c r="A222" s="2">
        <v>45829</v>
      </c>
      <c r="B222" s="1" t="s">
        <v>45</v>
      </c>
      <c r="C222" t="s">
        <v>46</v>
      </c>
      <c r="D222" t="s">
        <v>47</v>
      </c>
      <c r="E222" t="s">
        <v>44</v>
      </c>
      <c r="F222">
        <v>17328.3</v>
      </c>
      <c r="G222" t="s">
        <v>12</v>
      </c>
      <c r="H222">
        <v>15000</v>
      </c>
      <c r="I222">
        <f t="shared" si="3"/>
        <v>1732.83</v>
      </c>
    </row>
    <row r="223" spans="1:9" x14ac:dyDescent="0.3">
      <c r="A223" s="2">
        <v>45829</v>
      </c>
      <c r="B223" s="1" t="s">
        <v>48</v>
      </c>
      <c r="C223" t="s">
        <v>49</v>
      </c>
      <c r="D223" t="s">
        <v>50</v>
      </c>
      <c r="E223" t="s">
        <v>44</v>
      </c>
      <c r="F223">
        <v>17593.400000000001</v>
      </c>
      <c r="G223" t="s">
        <v>10</v>
      </c>
      <c r="H223">
        <v>15000</v>
      </c>
      <c r="I223">
        <f t="shared" si="3"/>
        <v>1759.3400000000001</v>
      </c>
    </row>
    <row r="224" spans="1:9" x14ac:dyDescent="0.3">
      <c r="A224" s="2">
        <v>45829</v>
      </c>
      <c r="B224" s="1" t="s">
        <v>54</v>
      </c>
      <c r="C224" t="s">
        <v>55</v>
      </c>
      <c r="D224" t="s">
        <v>56</v>
      </c>
      <c r="E224" t="s">
        <v>44</v>
      </c>
      <c r="F224">
        <v>17666</v>
      </c>
      <c r="G224" t="s">
        <v>9</v>
      </c>
      <c r="H224">
        <v>15000</v>
      </c>
      <c r="I224">
        <f t="shared" si="3"/>
        <v>1766.6000000000001</v>
      </c>
    </row>
    <row r="225" spans="1:9" x14ac:dyDescent="0.3">
      <c r="A225" s="2">
        <v>45829</v>
      </c>
      <c r="B225" s="1" t="s">
        <v>41</v>
      </c>
      <c r="C225" t="s">
        <v>42</v>
      </c>
      <c r="D225" t="s">
        <v>43</v>
      </c>
      <c r="E225" t="s">
        <v>44</v>
      </c>
      <c r="F225">
        <v>18452.599999999999</v>
      </c>
      <c r="G225" t="s">
        <v>12</v>
      </c>
      <c r="H225">
        <v>15000</v>
      </c>
      <c r="I225">
        <f t="shared" si="3"/>
        <v>1845.26</v>
      </c>
    </row>
    <row r="226" spans="1:9" x14ac:dyDescent="0.3">
      <c r="A226" s="2">
        <v>45829</v>
      </c>
      <c r="B226" s="1" t="s">
        <v>22</v>
      </c>
      <c r="C226" t="s">
        <v>23</v>
      </c>
      <c r="D226" t="s">
        <v>24</v>
      </c>
      <c r="E226" t="s">
        <v>18</v>
      </c>
      <c r="F226">
        <v>18878.400000000001</v>
      </c>
      <c r="G226" t="s">
        <v>10</v>
      </c>
      <c r="H226">
        <v>15000</v>
      </c>
      <c r="I226">
        <f t="shared" si="3"/>
        <v>1887.8400000000001</v>
      </c>
    </row>
    <row r="227" spans="1:9" x14ac:dyDescent="0.3">
      <c r="A227" s="2">
        <v>45829</v>
      </c>
      <c r="B227" s="1" t="s">
        <v>19</v>
      </c>
      <c r="C227" t="s">
        <v>20</v>
      </c>
      <c r="D227" t="s">
        <v>21</v>
      </c>
      <c r="E227" t="s">
        <v>18</v>
      </c>
      <c r="F227">
        <v>19431</v>
      </c>
      <c r="G227" t="s">
        <v>10</v>
      </c>
      <c r="H227">
        <v>15000</v>
      </c>
      <c r="I227">
        <f t="shared" si="3"/>
        <v>1943.1000000000001</v>
      </c>
    </row>
    <row r="228" spans="1:9" x14ac:dyDescent="0.3">
      <c r="A228" s="2">
        <v>45829</v>
      </c>
      <c r="B228" s="1" t="s">
        <v>22</v>
      </c>
      <c r="C228" t="s">
        <v>23</v>
      </c>
      <c r="D228" t="s">
        <v>24</v>
      </c>
      <c r="E228" t="s">
        <v>18</v>
      </c>
      <c r="F228">
        <v>19584</v>
      </c>
      <c r="G228" t="s">
        <v>10</v>
      </c>
      <c r="H228">
        <v>15000</v>
      </c>
      <c r="I228">
        <f t="shared" si="3"/>
        <v>1958.4</v>
      </c>
    </row>
    <row r="229" spans="1:9" x14ac:dyDescent="0.3">
      <c r="A229" s="2">
        <v>45829</v>
      </c>
      <c r="B229" s="1" t="s">
        <v>25</v>
      </c>
      <c r="C229" t="s">
        <v>26</v>
      </c>
      <c r="D229" t="s">
        <v>27</v>
      </c>
      <c r="E229" t="s">
        <v>18</v>
      </c>
      <c r="F229">
        <v>19594</v>
      </c>
      <c r="G229" t="s">
        <v>12</v>
      </c>
      <c r="H229">
        <v>15000</v>
      </c>
      <c r="I229">
        <f t="shared" si="3"/>
        <v>1959.4</v>
      </c>
    </row>
    <row r="230" spans="1:9" x14ac:dyDescent="0.3">
      <c r="A230" s="2">
        <v>45829</v>
      </c>
      <c r="B230" s="1" t="s">
        <v>22</v>
      </c>
      <c r="C230" t="s">
        <v>23</v>
      </c>
      <c r="D230" t="s">
        <v>24</v>
      </c>
      <c r="E230" t="s">
        <v>18</v>
      </c>
      <c r="F230">
        <v>19678.8</v>
      </c>
      <c r="G230" t="s">
        <v>10</v>
      </c>
      <c r="H230">
        <v>15000</v>
      </c>
      <c r="I230">
        <f t="shared" si="3"/>
        <v>1967.88</v>
      </c>
    </row>
    <row r="231" spans="1:9" x14ac:dyDescent="0.3">
      <c r="A231" s="2">
        <v>45829</v>
      </c>
      <c r="B231" s="1" t="s">
        <v>19</v>
      </c>
      <c r="C231" t="s">
        <v>20</v>
      </c>
      <c r="D231" t="s">
        <v>21</v>
      </c>
      <c r="E231" t="s">
        <v>18</v>
      </c>
      <c r="F231">
        <v>20031.2</v>
      </c>
      <c r="G231" t="s">
        <v>12</v>
      </c>
      <c r="H231">
        <v>15000</v>
      </c>
      <c r="I231">
        <f t="shared" si="3"/>
        <v>2003.1200000000001</v>
      </c>
    </row>
    <row r="232" spans="1:9" x14ac:dyDescent="0.3">
      <c r="A232" s="2">
        <v>45829</v>
      </c>
      <c r="B232" s="1" t="s">
        <v>68</v>
      </c>
      <c r="C232" t="s">
        <v>69</v>
      </c>
      <c r="D232" t="s">
        <v>70</v>
      </c>
      <c r="E232" t="s">
        <v>18</v>
      </c>
      <c r="F232">
        <v>20076.7</v>
      </c>
      <c r="G232" t="s">
        <v>12</v>
      </c>
      <c r="H232">
        <v>15000</v>
      </c>
      <c r="I232">
        <f t="shared" si="3"/>
        <v>2007.67</v>
      </c>
    </row>
    <row r="233" spans="1:9" x14ac:dyDescent="0.3">
      <c r="A233" s="2">
        <v>45829</v>
      </c>
      <c r="B233" s="1" t="s">
        <v>19</v>
      </c>
      <c r="C233" t="s">
        <v>20</v>
      </c>
      <c r="D233" t="s">
        <v>21</v>
      </c>
      <c r="E233" t="s">
        <v>18</v>
      </c>
      <c r="F233">
        <v>20140</v>
      </c>
      <c r="G233" t="s">
        <v>12</v>
      </c>
      <c r="H233">
        <v>15000</v>
      </c>
      <c r="I233">
        <f t="shared" si="3"/>
        <v>2014</v>
      </c>
    </row>
    <row r="234" spans="1:9" x14ac:dyDescent="0.3">
      <c r="A234" s="2">
        <v>45829</v>
      </c>
      <c r="B234" s="1" t="s">
        <v>22</v>
      </c>
      <c r="C234" t="s">
        <v>23</v>
      </c>
      <c r="D234" t="s">
        <v>24</v>
      </c>
      <c r="E234" t="s">
        <v>18</v>
      </c>
      <c r="F234">
        <v>20916</v>
      </c>
      <c r="G234" t="s">
        <v>9</v>
      </c>
      <c r="H234">
        <v>15000</v>
      </c>
      <c r="I234">
        <f t="shared" si="3"/>
        <v>2091.6</v>
      </c>
    </row>
    <row r="235" spans="1:9" x14ac:dyDescent="0.3">
      <c r="A235" s="2">
        <v>45829</v>
      </c>
      <c r="B235" s="1" t="s">
        <v>62</v>
      </c>
      <c r="C235" t="s">
        <v>13</v>
      </c>
      <c r="D235" t="s">
        <v>63</v>
      </c>
      <c r="E235" t="s">
        <v>8</v>
      </c>
      <c r="F235">
        <v>16363.9</v>
      </c>
      <c r="G235" t="s">
        <v>9</v>
      </c>
      <c r="H235">
        <v>15000</v>
      </c>
      <c r="I235">
        <f t="shared" si="3"/>
        <v>1636.39</v>
      </c>
    </row>
    <row r="236" spans="1:9" x14ac:dyDescent="0.3">
      <c r="A236" s="2">
        <v>45829</v>
      </c>
      <c r="B236" s="1" t="s">
        <v>64</v>
      </c>
      <c r="C236" t="s">
        <v>11</v>
      </c>
      <c r="D236" t="s">
        <v>65</v>
      </c>
      <c r="E236" t="s">
        <v>8</v>
      </c>
      <c r="F236">
        <v>16385.599999999999</v>
      </c>
      <c r="G236" t="s">
        <v>9</v>
      </c>
      <c r="H236">
        <v>15000</v>
      </c>
      <c r="I236">
        <f t="shared" si="3"/>
        <v>1638.56</v>
      </c>
    </row>
    <row r="237" spans="1:9" x14ac:dyDescent="0.3">
      <c r="A237" s="2">
        <v>45829</v>
      </c>
      <c r="B237" s="1" t="s">
        <v>57</v>
      </c>
      <c r="C237" t="s">
        <v>58</v>
      </c>
      <c r="D237" t="s">
        <v>59</v>
      </c>
      <c r="E237" t="s">
        <v>8</v>
      </c>
      <c r="F237">
        <v>16499.400000000001</v>
      </c>
      <c r="G237" t="s">
        <v>10</v>
      </c>
      <c r="H237">
        <v>15000</v>
      </c>
      <c r="I237">
        <f t="shared" si="3"/>
        <v>1649.9400000000003</v>
      </c>
    </row>
    <row r="238" spans="1:9" x14ac:dyDescent="0.3">
      <c r="A238" s="2">
        <v>45829</v>
      </c>
      <c r="B238" s="1" t="s">
        <v>57</v>
      </c>
      <c r="C238" t="s">
        <v>58</v>
      </c>
      <c r="D238" t="s">
        <v>59</v>
      </c>
      <c r="E238" t="s">
        <v>8</v>
      </c>
      <c r="F238">
        <v>16806.400000000001</v>
      </c>
      <c r="G238" t="s">
        <v>9</v>
      </c>
      <c r="H238">
        <v>15000</v>
      </c>
      <c r="I238">
        <f t="shared" si="3"/>
        <v>1680.6400000000003</v>
      </c>
    </row>
    <row r="239" spans="1:9" x14ac:dyDescent="0.3">
      <c r="A239" s="2">
        <v>45829</v>
      </c>
      <c r="B239" s="1" t="s">
        <v>64</v>
      </c>
      <c r="C239" t="s">
        <v>11</v>
      </c>
      <c r="D239" t="s">
        <v>65</v>
      </c>
      <c r="E239" t="s">
        <v>8</v>
      </c>
      <c r="F239">
        <v>16968</v>
      </c>
      <c r="G239" t="s">
        <v>12</v>
      </c>
      <c r="H239">
        <v>15000</v>
      </c>
      <c r="I239">
        <f t="shared" si="3"/>
        <v>1696.8000000000002</v>
      </c>
    </row>
    <row r="240" spans="1:9" x14ac:dyDescent="0.3">
      <c r="A240" s="2">
        <v>45829</v>
      </c>
      <c r="B240" s="1" t="s">
        <v>64</v>
      </c>
      <c r="C240" t="s">
        <v>11</v>
      </c>
      <c r="D240" t="s">
        <v>65</v>
      </c>
      <c r="E240" t="s">
        <v>8</v>
      </c>
      <c r="F240">
        <v>17262</v>
      </c>
      <c r="G240" t="s">
        <v>10</v>
      </c>
      <c r="H240">
        <v>15000</v>
      </c>
      <c r="I240">
        <f t="shared" si="3"/>
        <v>1726.2</v>
      </c>
    </row>
    <row r="241" spans="1:9" x14ac:dyDescent="0.3">
      <c r="A241" s="2">
        <v>45829</v>
      </c>
      <c r="B241" s="1" t="s">
        <v>60</v>
      </c>
      <c r="C241" t="s">
        <v>14</v>
      </c>
      <c r="D241" t="s">
        <v>61</v>
      </c>
      <c r="E241" t="s">
        <v>8</v>
      </c>
      <c r="F241">
        <v>17748</v>
      </c>
      <c r="G241" t="s">
        <v>9</v>
      </c>
      <c r="H241">
        <v>15000</v>
      </c>
      <c r="I241">
        <f t="shared" si="3"/>
        <v>1774.8000000000002</v>
      </c>
    </row>
    <row r="242" spans="1:9" x14ac:dyDescent="0.3">
      <c r="A242" s="2">
        <v>45829</v>
      </c>
      <c r="B242" s="1" t="s">
        <v>62</v>
      </c>
      <c r="C242" t="s">
        <v>13</v>
      </c>
      <c r="D242" t="s">
        <v>63</v>
      </c>
      <c r="E242" t="s">
        <v>8</v>
      </c>
      <c r="F242">
        <v>17993.5</v>
      </c>
      <c r="G242" t="s">
        <v>9</v>
      </c>
      <c r="H242">
        <v>15000</v>
      </c>
      <c r="I242">
        <f t="shared" si="3"/>
        <v>1799.3500000000001</v>
      </c>
    </row>
    <row r="243" spans="1:9" x14ac:dyDescent="0.3">
      <c r="A243" s="2">
        <v>45829</v>
      </c>
      <c r="B243" s="1" t="s">
        <v>64</v>
      </c>
      <c r="C243" t="s">
        <v>11</v>
      </c>
      <c r="D243" t="s">
        <v>65</v>
      </c>
      <c r="E243" t="s">
        <v>8</v>
      </c>
      <c r="F243">
        <v>18188.400000000001</v>
      </c>
      <c r="G243" t="s">
        <v>10</v>
      </c>
      <c r="H243">
        <v>15000</v>
      </c>
      <c r="I243">
        <f t="shared" si="3"/>
        <v>1818.8400000000001</v>
      </c>
    </row>
    <row r="244" spans="1:9" x14ac:dyDescent="0.3">
      <c r="A244" s="2">
        <v>45833</v>
      </c>
      <c r="B244" s="1" t="s">
        <v>32</v>
      </c>
      <c r="C244" t="s">
        <v>33</v>
      </c>
      <c r="D244" t="s">
        <v>34</v>
      </c>
      <c r="E244" t="s">
        <v>31</v>
      </c>
      <c r="F244">
        <v>18838.400000000001</v>
      </c>
      <c r="G244" t="s">
        <v>12</v>
      </c>
      <c r="H244">
        <v>15000</v>
      </c>
      <c r="I244">
        <f t="shared" si="3"/>
        <v>1883.8400000000001</v>
      </c>
    </row>
    <row r="245" spans="1:9" x14ac:dyDescent="0.3">
      <c r="A245" s="2">
        <v>45833</v>
      </c>
      <c r="B245" s="1" t="s">
        <v>32</v>
      </c>
      <c r="C245" t="s">
        <v>33</v>
      </c>
      <c r="D245" t="s">
        <v>34</v>
      </c>
      <c r="E245" t="s">
        <v>31</v>
      </c>
      <c r="F245">
        <v>19080</v>
      </c>
      <c r="G245" t="s">
        <v>10</v>
      </c>
      <c r="H245">
        <v>15000</v>
      </c>
      <c r="I245">
        <f t="shared" si="3"/>
        <v>1908</v>
      </c>
    </row>
    <row r="246" spans="1:9" x14ac:dyDescent="0.3">
      <c r="A246" s="2">
        <v>45833</v>
      </c>
      <c r="B246" s="1" t="s">
        <v>28</v>
      </c>
      <c r="C246" t="s">
        <v>29</v>
      </c>
      <c r="D246" t="s">
        <v>30</v>
      </c>
      <c r="E246" t="s">
        <v>31</v>
      </c>
      <c r="F246">
        <v>19210.400000000001</v>
      </c>
      <c r="G246" t="s">
        <v>9</v>
      </c>
      <c r="H246">
        <v>15000</v>
      </c>
      <c r="I246">
        <f t="shared" si="3"/>
        <v>1921.0400000000002</v>
      </c>
    </row>
    <row r="247" spans="1:9" x14ac:dyDescent="0.3">
      <c r="A247" s="2">
        <v>45833</v>
      </c>
      <c r="B247" s="1" t="s">
        <v>35</v>
      </c>
      <c r="C247" t="s">
        <v>36</v>
      </c>
      <c r="D247" t="s">
        <v>37</v>
      </c>
      <c r="E247" t="s">
        <v>31</v>
      </c>
      <c r="F247">
        <v>19594</v>
      </c>
      <c r="G247" t="s">
        <v>10</v>
      </c>
      <c r="H247">
        <v>15000</v>
      </c>
      <c r="I247">
        <f t="shared" si="3"/>
        <v>1959.4</v>
      </c>
    </row>
    <row r="248" spans="1:9" x14ac:dyDescent="0.3">
      <c r="A248" s="2">
        <v>45833</v>
      </c>
      <c r="B248" s="1" t="s">
        <v>28</v>
      </c>
      <c r="C248" t="s">
        <v>29</v>
      </c>
      <c r="D248" t="s">
        <v>30</v>
      </c>
      <c r="E248" t="s">
        <v>31</v>
      </c>
      <c r="F248">
        <v>19946.2</v>
      </c>
      <c r="G248" t="s">
        <v>12</v>
      </c>
      <c r="H248">
        <v>15000</v>
      </c>
      <c r="I248">
        <f t="shared" si="3"/>
        <v>1994.6200000000001</v>
      </c>
    </row>
    <row r="249" spans="1:9" x14ac:dyDescent="0.3">
      <c r="A249" s="2">
        <v>45833</v>
      </c>
      <c r="B249" s="1" t="s">
        <v>15</v>
      </c>
      <c r="C249" t="s">
        <v>16</v>
      </c>
      <c r="D249" t="s">
        <v>17</v>
      </c>
      <c r="E249" t="s">
        <v>18</v>
      </c>
      <c r="F249">
        <v>21169.599999999999</v>
      </c>
      <c r="G249" t="s">
        <v>10</v>
      </c>
      <c r="H249">
        <v>15000</v>
      </c>
      <c r="I249">
        <f t="shared" si="3"/>
        <v>2116.96</v>
      </c>
    </row>
    <row r="250" spans="1:9" x14ac:dyDescent="0.3">
      <c r="A250" s="2">
        <v>45859</v>
      </c>
      <c r="B250" s="1" t="s">
        <v>35</v>
      </c>
      <c r="C250" t="s">
        <v>36</v>
      </c>
      <c r="D250" t="s">
        <v>37</v>
      </c>
      <c r="E250" t="s">
        <v>31</v>
      </c>
      <c r="F250">
        <v>20366.099999999999</v>
      </c>
      <c r="G250" t="s">
        <v>12</v>
      </c>
      <c r="H250">
        <v>15000</v>
      </c>
      <c r="I250">
        <f t="shared" si="3"/>
        <v>2036.61</v>
      </c>
    </row>
    <row r="251" spans="1:9" x14ac:dyDescent="0.3">
      <c r="A251" s="2">
        <v>45859</v>
      </c>
      <c r="B251" s="1" t="s">
        <v>35</v>
      </c>
      <c r="C251" t="s">
        <v>36</v>
      </c>
      <c r="D251" t="s">
        <v>37</v>
      </c>
      <c r="E251" t="s">
        <v>31</v>
      </c>
      <c r="F251">
        <v>20880</v>
      </c>
      <c r="G251" t="s">
        <v>9</v>
      </c>
      <c r="H251">
        <v>15000</v>
      </c>
      <c r="I251">
        <f t="shared" si="3"/>
        <v>2088</v>
      </c>
    </row>
    <row r="252" spans="1:9" x14ac:dyDescent="0.3">
      <c r="A252" s="2">
        <v>45859</v>
      </c>
      <c r="B252" s="1" t="s">
        <v>71</v>
      </c>
      <c r="C252" t="s">
        <v>72</v>
      </c>
      <c r="D252" t="s">
        <v>73</v>
      </c>
      <c r="E252" t="s">
        <v>31</v>
      </c>
      <c r="F252">
        <v>21103.3</v>
      </c>
      <c r="G252" t="s">
        <v>12</v>
      </c>
      <c r="H252">
        <v>15000</v>
      </c>
      <c r="I252">
        <f t="shared" si="3"/>
        <v>2110.33</v>
      </c>
    </row>
    <row r="253" spans="1:9" x14ac:dyDescent="0.3">
      <c r="A253" s="2">
        <v>45859</v>
      </c>
      <c r="B253" s="1" t="s">
        <v>28</v>
      </c>
      <c r="C253" t="s">
        <v>29</v>
      </c>
      <c r="D253" t="s">
        <v>30</v>
      </c>
      <c r="E253" t="s">
        <v>31</v>
      </c>
      <c r="F253">
        <v>21216</v>
      </c>
      <c r="G253" t="s">
        <v>10</v>
      </c>
      <c r="H253">
        <v>15000</v>
      </c>
      <c r="I253">
        <f t="shared" si="3"/>
        <v>2121.6</v>
      </c>
    </row>
    <row r="254" spans="1:9" x14ac:dyDescent="0.3">
      <c r="A254" s="2">
        <v>45859</v>
      </c>
      <c r="B254" s="1" t="s">
        <v>38</v>
      </c>
      <c r="C254" t="s">
        <v>39</v>
      </c>
      <c r="D254" t="s">
        <v>40</v>
      </c>
      <c r="E254" t="s">
        <v>31</v>
      </c>
      <c r="F254">
        <v>21295.4</v>
      </c>
      <c r="G254" t="s">
        <v>9</v>
      </c>
      <c r="H254">
        <v>15000</v>
      </c>
      <c r="I254">
        <f t="shared" si="3"/>
        <v>2129.5400000000004</v>
      </c>
    </row>
    <row r="255" spans="1:9" x14ac:dyDescent="0.3">
      <c r="A255" s="2">
        <v>45859</v>
      </c>
      <c r="B255" s="1" t="s">
        <v>38</v>
      </c>
      <c r="C255" t="s">
        <v>39</v>
      </c>
      <c r="D255" t="s">
        <v>40</v>
      </c>
      <c r="E255" t="s">
        <v>31</v>
      </c>
      <c r="F255">
        <v>21546</v>
      </c>
      <c r="G255" t="s">
        <v>9</v>
      </c>
      <c r="H255">
        <v>15000</v>
      </c>
      <c r="I255">
        <f t="shared" si="3"/>
        <v>2154.6</v>
      </c>
    </row>
    <row r="256" spans="1:9" x14ac:dyDescent="0.3">
      <c r="A256" s="2">
        <v>45859</v>
      </c>
      <c r="B256" s="1" t="s">
        <v>71</v>
      </c>
      <c r="C256" t="s">
        <v>72</v>
      </c>
      <c r="D256" t="s">
        <v>73</v>
      </c>
      <c r="E256" t="s">
        <v>31</v>
      </c>
      <c r="F256">
        <v>22176</v>
      </c>
      <c r="G256" t="s">
        <v>10</v>
      </c>
      <c r="H256">
        <v>15000</v>
      </c>
      <c r="I256">
        <f t="shared" si="3"/>
        <v>2217.6</v>
      </c>
    </row>
    <row r="257" spans="1:9" x14ac:dyDescent="0.3">
      <c r="A257" s="2">
        <v>45859</v>
      </c>
      <c r="B257" s="1" t="s">
        <v>48</v>
      </c>
      <c r="C257" t="s">
        <v>49</v>
      </c>
      <c r="D257" t="s">
        <v>50</v>
      </c>
      <c r="E257" t="s">
        <v>44</v>
      </c>
      <c r="F257">
        <v>18885.900000000001</v>
      </c>
      <c r="G257" t="s">
        <v>12</v>
      </c>
      <c r="H257">
        <v>15000</v>
      </c>
      <c r="I257">
        <f t="shared" si="3"/>
        <v>1888.5900000000001</v>
      </c>
    </row>
    <row r="258" spans="1:9" x14ac:dyDescent="0.3">
      <c r="A258" s="2">
        <v>45859</v>
      </c>
      <c r="B258" s="1" t="s">
        <v>41</v>
      </c>
      <c r="C258" t="s">
        <v>42</v>
      </c>
      <c r="D258" t="s">
        <v>43</v>
      </c>
      <c r="E258" t="s">
        <v>44</v>
      </c>
      <c r="F258">
        <v>18994.5</v>
      </c>
      <c r="G258" t="s">
        <v>10</v>
      </c>
      <c r="H258">
        <v>15000</v>
      </c>
      <c r="I258">
        <f t="shared" si="3"/>
        <v>1899.45</v>
      </c>
    </row>
    <row r="259" spans="1:9" x14ac:dyDescent="0.3">
      <c r="A259" s="2">
        <v>45859</v>
      </c>
      <c r="B259" s="1" t="s">
        <v>54</v>
      </c>
      <c r="C259" t="s">
        <v>55</v>
      </c>
      <c r="D259" t="s">
        <v>56</v>
      </c>
      <c r="E259" t="s">
        <v>44</v>
      </c>
      <c r="F259">
        <v>19147.8</v>
      </c>
      <c r="G259" t="s">
        <v>10</v>
      </c>
      <c r="H259">
        <v>15000</v>
      </c>
      <c r="I259">
        <f t="shared" ref="I259:I322" si="4">IF(F259&gt;=H259,0.1*F259,0)</f>
        <v>1914.78</v>
      </c>
    </row>
    <row r="260" spans="1:9" x14ac:dyDescent="0.3">
      <c r="A260" s="2">
        <v>45859</v>
      </c>
      <c r="B260" s="1" t="s">
        <v>51</v>
      </c>
      <c r="C260" t="s">
        <v>52</v>
      </c>
      <c r="D260" t="s">
        <v>53</v>
      </c>
      <c r="E260" t="s">
        <v>44</v>
      </c>
      <c r="F260">
        <v>20062.5</v>
      </c>
      <c r="G260" t="s">
        <v>9</v>
      </c>
      <c r="H260">
        <v>15000</v>
      </c>
      <c r="I260">
        <f t="shared" si="4"/>
        <v>2006.25</v>
      </c>
    </row>
    <row r="261" spans="1:9" x14ac:dyDescent="0.3">
      <c r="A261" s="2">
        <v>45859</v>
      </c>
      <c r="B261" s="1" t="s">
        <v>45</v>
      </c>
      <c r="C261" t="s">
        <v>46</v>
      </c>
      <c r="D261" t="s">
        <v>47</v>
      </c>
      <c r="E261" t="s">
        <v>44</v>
      </c>
      <c r="F261">
        <v>20760.3</v>
      </c>
      <c r="G261" t="s">
        <v>10</v>
      </c>
      <c r="H261">
        <v>15000</v>
      </c>
      <c r="I261">
        <f t="shared" si="4"/>
        <v>2076.0300000000002</v>
      </c>
    </row>
    <row r="262" spans="1:9" x14ac:dyDescent="0.3">
      <c r="A262" s="2">
        <v>45859</v>
      </c>
      <c r="B262" s="1" t="s">
        <v>54</v>
      </c>
      <c r="C262" t="s">
        <v>55</v>
      </c>
      <c r="D262" t="s">
        <v>56</v>
      </c>
      <c r="E262" t="s">
        <v>44</v>
      </c>
      <c r="F262">
        <v>20790</v>
      </c>
      <c r="G262" t="s">
        <v>10</v>
      </c>
      <c r="H262">
        <v>15000</v>
      </c>
      <c r="I262">
        <f t="shared" si="4"/>
        <v>2079</v>
      </c>
    </row>
    <row r="263" spans="1:9" x14ac:dyDescent="0.3">
      <c r="A263" s="2">
        <v>45859</v>
      </c>
      <c r="B263" s="1" t="s">
        <v>45</v>
      </c>
      <c r="C263" t="s">
        <v>46</v>
      </c>
      <c r="D263" t="s">
        <v>47</v>
      </c>
      <c r="E263" t="s">
        <v>44</v>
      </c>
      <c r="F263">
        <v>21120.400000000001</v>
      </c>
      <c r="G263" t="s">
        <v>10</v>
      </c>
      <c r="H263">
        <v>15000</v>
      </c>
      <c r="I263">
        <f t="shared" si="4"/>
        <v>2112.0400000000004</v>
      </c>
    </row>
    <row r="264" spans="1:9" x14ac:dyDescent="0.3">
      <c r="A264" s="2">
        <v>45859</v>
      </c>
      <c r="B264" s="1" t="s">
        <v>45</v>
      </c>
      <c r="C264" t="s">
        <v>46</v>
      </c>
      <c r="D264" t="s">
        <v>47</v>
      </c>
      <c r="E264" t="s">
        <v>44</v>
      </c>
      <c r="F264">
        <v>21420</v>
      </c>
      <c r="G264" t="s">
        <v>12</v>
      </c>
      <c r="H264">
        <v>15000</v>
      </c>
      <c r="I264">
        <f t="shared" si="4"/>
        <v>2142</v>
      </c>
    </row>
    <row r="265" spans="1:9" x14ac:dyDescent="0.3">
      <c r="A265" s="2">
        <v>45859</v>
      </c>
      <c r="B265" s="1" t="s">
        <v>22</v>
      </c>
      <c r="C265" t="s">
        <v>23</v>
      </c>
      <c r="D265" t="s">
        <v>24</v>
      </c>
      <c r="E265" t="s">
        <v>18</v>
      </c>
      <c r="F265">
        <v>21483</v>
      </c>
      <c r="G265" t="s">
        <v>12</v>
      </c>
      <c r="H265">
        <v>15000</v>
      </c>
      <c r="I265">
        <f t="shared" si="4"/>
        <v>2148.3000000000002</v>
      </c>
    </row>
    <row r="266" spans="1:9" x14ac:dyDescent="0.3">
      <c r="A266" s="2">
        <v>45859</v>
      </c>
      <c r="B266" s="1" t="s">
        <v>15</v>
      </c>
      <c r="C266" t="s">
        <v>16</v>
      </c>
      <c r="D266" t="s">
        <v>17</v>
      </c>
      <c r="E266" t="s">
        <v>18</v>
      </c>
      <c r="F266">
        <v>21485.200000000001</v>
      </c>
      <c r="G266" t="s">
        <v>10</v>
      </c>
      <c r="H266">
        <v>15000</v>
      </c>
      <c r="I266">
        <f t="shared" si="4"/>
        <v>2148.52</v>
      </c>
    </row>
    <row r="267" spans="1:9" x14ac:dyDescent="0.3">
      <c r="A267" s="2">
        <v>45859</v>
      </c>
      <c r="B267" s="1" t="s">
        <v>19</v>
      </c>
      <c r="C267" t="s">
        <v>20</v>
      </c>
      <c r="D267" t="s">
        <v>21</v>
      </c>
      <c r="E267" t="s">
        <v>18</v>
      </c>
      <c r="F267">
        <v>21654.400000000001</v>
      </c>
      <c r="G267" t="s">
        <v>10</v>
      </c>
      <c r="H267">
        <v>15000</v>
      </c>
      <c r="I267">
        <f t="shared" si="4"/>
        <v>2165.44</v>
      </c>
    </row>
    <row r="268" spans="1:9" x14ac:dyDescent="0.3">
      <c r="A268" s="2">
        <v>45859</v>
      </c>
      <c r="B268" s="1" t="s">
        <v>22</v>
      </c>
      <c r="C268" t="s">
        <v>23</v>
      </c>
      <c r="D268" t="s">
        <v>24</v>
      </c>
      <c r="E268" t="s">
        <v>18</v>
      </c>
      <c r="F268">
        <v>22396.5</v>
      </c>
      <c r="G268" t="s">
        <v>12</v>
      </c>
      <c r="H268">
        <v>15000</v>
      </c>
      <c r="I268">
        <f t="shared" si="4"/>
        <v>2239.65</v>
      </c>
    </row>
    <row r="269" spans="1:9" x14ac:dyDescent="0.3">
      <c r="A269" s="2">
        <v>45859</v>
      </c>
      <c r="B269" s="1" t="s">
        <v>68</v>
      </c>
      <c r="C269" t="s">
        <v>69</v>
      </c>
      <c r="D269" t="s">
        <v>70</v>
      </c>
      <c r="E269" t="s">
        <v>18</v>
      </c>
      <c r="F269">
        <v>22607.200000000001</v>
      </c>
      <c r="G269" t="s">
        <v>9</v>
      </c>
      <c r="H269">
        <v>15000</v>
      </c>
      <c r="I269">
        <f t="shared" si="4"/>
        <v>2260.7200000000003</v>
      </c>
    </row>
    <row r="270" spans="1:9" x14ac:dyDescent="0.3">
      <c r="A270" s="2">
        <v>45859</v>
      </c>
      <c r="B270" s="1" t="s">
        <v>22</v>
      </c>
      <c r="C270" t="s">
        <v>23</v>
      </c>
      <c r="D270" t="s">
        <v>24</v>
      </c>
      <c r="E270" t="s">
        <v>18</v>
      </c>
      <c r="F270">
        <v>23445</v>
      </c>
      <c r="G270" t="s">
        <v>10</v>
      </c>
      <c r="H270">
        <v>15000</v>
      </c>
      <c r="I270">
        <f t="shared" si="4"/>
        <v>2344.5</v>
      </c>
    </row>
    <row r="271" spans="1:9" x14ac:dyDescent="0.3">
      <c r="A271" s="2">
        <v>45859</v>
      </c>
      <c r="B271" s="1" t="s">
        <v>19</v>
      </c>
      <c r="C271" t="s">
        <v>20</v>
      </c>
      <c r="D271" t="s">
        <v>21</v>
      </c>
      <c r="E271" t="s">
        <v>18</v>
      </c>
      <c r="F271">
        <v>23849.599999999999</v>
      </c>
      <c r="G271" t="s">
        <v>9</v>
      </c>
      <c r="H271">
        <v>15000</v>
      </c>
      <c r="I271">
        <f t="shared" si="4"/>
        <v>2384.96</v>
      </c>
    </row>
    <row r="272" spans="1:9" x14ac:dyDescent="0.3">
      <c r="A272" s="2">
        <v>45859</v>
      </c>
      <c r="B272" s="1" t="s">
        <v>68</v>
      </c>
      <c r="C272" t="s">
        <v>69</v>
      </c>
      <c r="D272" t="s">
        <v>70</v>
      </c>
      <c r="E272" t="s">
        <v>18</v>
      </c>
      <c r="F272">
        <v>23882.400000000001</v>
      </c>
      <c r="G272" t="s">
        <v>12</v>
      </c>
      <c r="H272">
        <v>15000</v>
      </c>
      <c r="I272">
        <f t="shared" si="4"/>
        <v>2388.2400000000002</v>
      </c>
    </row>
    <row r="273" spans="1:9" x14ac:dyDescent="0.3">
      <c r="A273" s="2">
        <v>45859</v>
      </c>
      <c r="B273" s="1" t="s">
        <v>19</v>
      </c>
      <c r="C273" t="s">
        <v>20</v>
      </c>
      <c r="D273" t="s">
        <v>21</v>
      </c>
      <c r="E273" t="s">
        <v>18</v>
      </c>
      <c r="F273">
        <v>25633.5</v>
      </c>
      <c r="G273" t="s">
        <v>10</v>
      </c>
      <c r="H273">
        <v>15000</v>
      </c>
      <c r="I273">
        <f t="shared" si="4"/>
        <v>2563.3500000000004</v>
      </c>
    </row>
    <row r="274" spans="1:9" x14ac:dyDescent="0.3">
      <c r="A274" s="2">
        <v>45859</v>
      </c>
      <c r="B274" s="1" t="s">
        <v>64</v>
      </c>
      <c r="C274" t="s">
        <v>11</v>
      </c>
      <c r="D274" t="s">
        <v>65</v>
      </c>
      <c r="E274" t="s">
        <v>8</v>
      </c>
      <c r="F274">
        <v>18826.400000000001</v>
      </c>
      <c r="G274" t="s">
        <v>12</v>
      </c>
      <c r="H274">
        <v>15000</v>
      </c>
      <c r="I274">
        <f t="shared" si="4"/>
        <v>1882.6400000000003</v>
      </c>
    </row>
    <row r="275" spans="1:9" x14ac:dyDescent="0.3">
      <c r="A275" s="2">
        <v>45859</v>
      </c>
      <c r="B275" s="1" t="s">
        <v>62</v>
      </c>
      <c r="C275" t="s">
        <v>13</v>
      </c>
      <c r="D275" t="s">
        <v>63</v>
      </c>
      <c r="E275" t="s">
        <v>8</v>
      </c>
      <c r="F275">
        <v>19108</v>
      </c>
      <c r="G275" t="s">
        <v>10</v>
      </c>
      <c r="H275">
        <v>15000</v>
      </c>
      <c r="I275">
        <f t="shared" si="4"/>
        <v>1910.8000000000002</v>
      </c>
    </row>
    <row r="276" spans="1:9" x14ac:dyDescent="0.3">
      <c r="A276" s="2">
        <v>45859</v>
      </c>
      <c r="B276" s="1" t="s">
        <v>57</v>
      </c>
      <c r="C276" t="s">
        <v>58</v>
      </c>
      <c r="D276" t="s">
        <v>59</v>
      </c>
      <c r="E276" t="s">
        <v>8</v>
      </c>
      <c r="F276">
        <v>19456</v>
      </c>
      <c r="G276" t="s">
        <v>9</v>
      </c>
      <c r="H276">
        <v>15000</v>
      </c>
      <c r="I276">
        <f t="shared" si="4"/>
        <v>1945.6000000000001</v>
      </c>
    </row>
    <row r="277" spans="1:9" x14ac:dyDescent="0.3">
      <c r="A277" s="2">
        <v>45859</v>
      </c>
      <c r="B277" s="1" t="s">
        <v>64</v>
      </c>
      <c r="C277" t="s">
        <v>11</v>
      </c>
      <c r="D277" t="s">
        <v>65</v>
      </c>
      <c r="E277" t="s">
        <v>8</v>
      </c>
      <c r="F277">
        <v>19617.5</v>
      </c>
      <c r="G277" t="s">
        <v>12</v>
      </c>
      <c r="H277">
        <v>15000</v>
      </c>
      <c r="I277">
        <f t="shared" si="4"/>
        <v>1961.75</v>
      </c>
    </row>
    <row r="278" spans="1:9" x14ac:dyDescent="0.3">
      <c r="A278" s="2">
        <v>45859</v>
      </c>
      <c r="B278" s="1" t="s">
        <v>64</v>
      </c>
      <c r="C278" t="s">
        <v>11</v>
      </c>
      <c r="D278" t="s">
        <v>65</v>
      </c>
      <c r="E278" t="s">
        <v>8</v>
      </c>
      <c r="F278">
        <v>19836.400000000001</v>
      </c>
      <c r="G278" t="s">
        <v>9</v>
      </c>
      <c r="H278">
        <v>15000</v>
      </c>
      <c r="I278">
        <f t="shared" si="4"/>
        <v>1983.6400000000003</v>
      </c>
    </row>
    <row r="279" spans="1:9" x14ac:dyDescent="0.3">
      <c r="A279" s="2">
        <v>45859</v>
      </c>
      <c r="B279" s="1" t="s">
        <v>62</v>
      </c>
      <c r="C279" t="s">
        <v>13</v>
      </c>
      <c r="D279" t="s">
        <v>63</v>
      </c>
      <c r="E279" t="s">
        <v>8</v>
      </c>
      <c r="F279">
        <v>20128</v>
      </c>
      <c r="G279" t="s">
        <v>12</v>
      </c>
      <c r="H279">
        <v>15000</v>
      </c>
      <c r="I279">
        <f t="shared" si="4"/>
        <v>2012.8000000000002</v>
      </c>
    </row>
    <row r="280" spans="1:9" x14ac:dyDescent="0.3">
      <c r="A280" s="2">
        <v>45859</v>
      </c>
      <c r="B280" s="1" t="s">
        <v>62</v>
      </c>
      <c r="C280" t="s">
        <v>13</v>
      </c>
      <c r="D280" t="s">
        <v>63</v>
      </c>
      <c r="E280" t="s">
        <v>8</v>
      </c>
      <c r="F280">
        <v>20717.599999999999</v>
      </c>
      <c r="G280" t="s">
        <v>10</v>
      </c>
      <c r="H280">
        <v>15000</v>
      </c>
      <c r="I280">
        <f t="shared" si="4"/>
        <v>2071.7599999999998</v>
      </c>
    </row>
    <row r="281" spans="1:9" x14ac:dyDescent="0.3">
      <c r="A281" s="2">
        <v>45859</v>
      </c>
      <c r="B281" s="1" t="s">
        <v>60</v>
      </c>
      <c r="C281" t="s">
        <v>14</v>
      </c>
      <c r="D281" t="s">
        <v>61</v>
      </c>
      <c r="E281" t="s">
        <v>8</v>
      </c>
      <c r="F281">
        <v>20797.2</v>
      </c>
      <c r="G281" t="s">
        <v>10</v>
      </c>
      <c r="H281">
        <v>15000</v>
      </c>
      <c r="I281">
        <f t="shared" si="4"/>
        <v>2079.7200000000003</v>
      </c>
    </row>
    <row r="282" spans="1:9" x14ac:dyDescent="0.3">
      <c r="A282" s="2">
        <v>45859</v>
      </c>
      <c r="B282" s="1" t="s">
        <v>62</v>
      </c>
      <c r="C282" t="s">
        <v>13</v>
      </c>
      <c r="D282" t="s">
        <v>63</v>
      </c>
      <c r="E282" t="s">
        <v>8</v>
      </c>
      <c r="F282">
        <v>20868.400000000001</v>
      </c>
      <c r="G282" t="s">
        <v>10</v>
      </c>
      <c r="H282">
        <v>15000</v>
      </c>
      <c r="I282">
        <f t="shared" si="4"/>
        <v>2086.84</v>
      </c>
    </row>
    <row r="283" spans="1:9" x14ac:dyDescent="0.3">
      <c r="A283" s="2">
        <v>45859</v>
      </c>
      <c r="B283" s="1" t="s">
        <v>66</v>
      </c>
      <c r="C283" t="s">
        <v>7</v>
      </c>
      <c r="D283" t="s">
        <v>67</v>
      </c>
      <c r="E283" t="s">
        <v>8</v>
      </c>
      <c r="F283">
        <v>21168</v>
      </c>
      <c r="G283" t="s">
        <v>9</v>
      </c>
      <c r="H283">
        <v>15000</v>
      </c>
      <c r="I283">
        <f t="shared" si="4"/>
        <v>2116.8000000000002</v>
      </c>
    </row>
    <row r="284" spans="1:9" x14ac:dyDescent="0.3">
      <c r="A284" s="2">
        <v>45863</v>
      </c>
      <c r="B284" s="1" t="s">
        <v>71</v>
      </c>
      <c r="C284" t="s">
        <v>72</v>
      </c>
      <c r="D284" t="s">
        <v>73</v>
      </c>
      <c r="E284" t="s">
        <v>31</v>
      </c>
      <c r="F284">
        <v>22351.1</v>
      </c>
      <c r="G284" t="s">
        <v>12</v>
      </c>
      <c r="H284">
        <v>15000</v>
      </c>
      <c r="I284">
        <f t="shared" si="4"/>
        <v>2235.11</v>
      </c>
    </row>
    <row r="285" spans="1:9" x14ac:dyDescent="0.3">
      <c r="A285" s="2">
        <v>45863</v>
      </c>
      <c r="B285" s="1" t="s">
        <v>28</v>
      </c>
      <c r="C285" t="s">
        <v>29</v>
      </c>
      <c r="D285" t="s">
        <v>30</v>
      </c>
      <c r="E285" t="s">
        <v>31</v>
      </c>
      <c r="F285">
        <v>23076.2</v>
      </c>
      <c r="G285" t="s">
        <v>9</v>
      </c>
      <c r="H285">
        <v>15000</v>
      </c>
      <c r="I285">
        <f t="shared" si="4"/>
        <v>2307.6200000000003</v>
      </c>
    </row>
    <row r="286" spans="1:9" x14ac:dyDescent="0.3">
      <c r="A286" s="2">
        <v>45863</v>
      </c>
      <c r="B286" s="1" t="s">
        <v>35</v>
      </c>
      <c r="C286" t="s">
        <v>36</v>
      </c>
      <c r="D286" t="s">
        <v>37</v>
      </c>
      <c r="E286" t="s">
        <v>31</v>
      </c>
      <c r="F286">
        <v>24131</v>
      </c>
      <c r="G286" t="s">
        <v>10</v>
      </c>
      <c r="H286">
        <v>15000</v>
      </c>
      <c r="I286">
        <f t="shared" si="4"/>
        <v>2413.1</v>
      </c>
    </row>
    <row r="287" spans="1:9" x14ac:dyDescent="0.3">
      <c r="A287" s="2">
        <v>45863</v>
      </c>
      <c r="B287" s="1" t="s">
        <v>71</v>
      </c>
      <c r="C287" t="s">
        <v>72</v>
      </c>
      <c r="D287" t="s">
        <v>73</v>
      </c>
      <c r="E287" t="s">
        <v>31</v>
      </c>
      <c r="F287">
        <v>24469.599999999999</v>
      </c>
      <c r="G287" t="s">
        <v>10</v>
      </c>
      <c r="H287">
        <v>15000</v>
      </c>
      <c r="I287">
        <f t="shared" si="4"/>
        <v>2446.96</v>
      </c>
    </row>
    <row r="288" spans="1:9" x14ac:dyDescent="0.3">
      <c r="A288" s="2">
        <v>45863</v>
      </c>
      <c r="B288" s="1" t="s">
        <v>28</v>
      </c>
      <c r="C288" t="s">
        <v>29</v>
      </c>
      <c r="D288" t="s">
        <v>30</v>
      </c>
      <c r="E288" t="s">
        <v>31</v>
      </c>
      <c r="F288">
        <v>25518.799999999999</v>
      </c>
      <c r="G288" t="s">
        <v>9</v>
      </c>
      <c r="H288">
        <v>15000</v>
      </c>
      <c r="I288">
        <f t="shared" si="4"/>
        <v>2551.88</v>
      </c>
    </row>
    <row r="289" spans="1:9" x14ac:dyDescent="0.3">
      <c r="A289" s="2">
        <v>45863</v>
      </c>
      <c r="B289" s="1" t="s">
        <v>28</v>
      </c>
      <c r="C289" t="s">
        <v>29</v>
      </c>
      <c r="D289" t="s">
        <v>30</v>
      </c>
      <c r="E289" t="s">
        <v>31</v>
      </c>
      <c r="F289">
        <v>25560</v>
      </c>
      <c r="G289" t="s">
        <v>9</v>
      </c>
      <c r="H289">
        <v>15000</v>
      </c>
      <c r="I289">
        <f t="shared" si="4"/>
        <v>2556</v>
      </c>
    </row>
    <row r="290" spans="1:9" x14ac:dyDescent="0.3">
      <c r="A290" s="2">
        <v>45863</v>
      </c>
      <c r="B290" s="1" t="s">
        <v>54</v>
      </c>
      <c r="C290" t="s">
        <v>55</v>
      </c>
      <c r="D290" t="s">
        <v>56</v>
      </c>
      <c r="E290" t="s">
        <v>44</v>
      </c>
      <c r="F290">
        <v>21438.9</v>
      </c>
      <c r="G290" t="s">
        <v>9</v>
      </c>
      <c r="H290">
        <v>15000</v>
      </c>
      <c r="I290">
        <f t="shared" si="4"/>
        <v>2143.8900000000003</v>
      </c>
    </row>
    <row r="291" spans="1:9" x14ac:dyDescent="0.3">
      <c r="A291" s="2">
        <v>45863</v>
      </c>
      <c r="B291" s="1" t="s">
        <v>51</v>
      </c>
      <c r="C291" t="s">
        <v>52</v>
      </c>
      <c r="D291" t="s">
        <v>53</v>
      </c>
      <c r="E291" t="s">
        <v>44</v>
      </c>
      <c r="F291">
        <v>21878.5</v>
      </c>
      <c r="G291" t="s">
        <v>9</v>
      </c>
      <c r="H291">
        <v>15000</v>
      </c>
      <c r="I291">
        <f t="shared" si="4"/>
        <v>2187.85</v>
      </c>
    </row>
    <row r="292" spans="1:9" x14ac:dyDescent="0.3">
      <c r="A292" s="2">
        <v>45863</v>
      </c>
      <c r="B292" s="1" t="s">
        <v>54</v>
      </c>
      <c r="C292" t="s">
        <v>55</v>
      </c>
      <c r="D292" t="s">
        <v>56</v>
      </c>
      <c r="E292" t="s">
        <v>44</v>
      </c>
      <c r="F292">
        <v>22136.799999999999</v>
      </c>
      <c r="G292" t="s">
        <v>9</v>
      </c>
      <c r="H292">
        <v>15000</v>
      </c>
      <c r="I292">
        <f t="shared" si="4"/>
        <v>2213.6799999999998</v>
      </c>
    </row>
    <row r="293" spans="1:9" x14ac:dyDescent="0.3">
      <c r="A293" s="2">
        <v>45863</v>
      </c>
      <c r="B293" s="1" t="s">
        <v>54</v>
      </c>
      <c r="C293" t="s">
        <v>55</v>
      </c>
      <c r="D293" t="s">
        <v>56</v>
      </c>
      <c r="E293" t="s">
        <v>44</v>
      </c>
      <c r="F293">
        <v>22900.5</v>
      </c>
      <c r="G293" t="s">
        <v>9</v>
      </c>
      <c r="H293">
        <v>15000</v>
      </c>
      <c r="I293">
        <f t="shared" si="4"/>
        <v>2290.0500000000002</v>
      </c>
    </row>
    <row r="294" spans="1:9" x14ac:dyDescent="0.3">
      <c r="A294" s="2">
        <v>45863</v>
      </c>
      <c r="B294" s="1" t="s">
        <v>48</v>
      </c>
      <c r="C294" t="s">
        <v>49</v>
      </c>
      <c r="D294" t="s">
        <v>50</v>
      </c>
      <c r="E294" t="s">
        <v>44</v>
      </c>
      <c r="F294">
        <v>23014.400000000001</v>
      </c>
      <c r="G294" t="s">
        <v>9</v>
      </c>
      <c r="H294">
        <v>15000</v>
      </c>
      <c r="I294">
        <f t="shared" si="4"/>
        <v>2301.44</v>
      </c>
    </row>
    <row r="295" spans="1:9" x14ac:dyDescent="0.3">
      <c r="A295" s="2">
        <v>45890</v>
      </c>
      <c r="B295" s="1" t="s">
        <v>71</v>
      </c>
      <c r="C295" t="s">
        <v>72</v>
      </c>
      <c r="D295" t="s">
        <v>73</v>
      </c>
      <c r="E295" t="s">
        <v>31</v>
      </c>
      <c r="F295">
        <v>26773.4</v>
      </c>
      <c r="G295" t="s">
        <v>12</v>
      </c>
      <c r="H295">
        <v>15000</v>
      </c>
      <c r="I295">
        <f t="shared" si="4"/>
        <v>2677.34</v>
      </c>
    </row>
    <row r="296" spans="1:9" x14ac:dyDescent="0.3">
      <c r="A296" s="2">
        <v>45890</v>
      </c>
      <c r="B296" s="1" t="s">
        <v>28</v>
      </c>
      <c r="C296" t="s">
        <v>29</v>
      </c>
      <c r="D296" t="s">
        <v>30</v>
      </c>
      <c r="E296" t="s">
        <v>31</v>
      </c>
      <c r="F296">
        <v>27676.6</v>
      </c>
      <c r="G296" t="s">
        <v>10</v>
      </c>
      <c r="H296">
        <v>15000</v>
      </c>
      <c r="I296">
        <f t="shared" si="4"/>
        <v>2767.66</v>
      </c>
    </row>
    <row r="297" spans="1:9" x14ac:dyDescent="0.3">
      <c r="A297" s="2">
        <v>45890</v>
      </c>
      <c r="B297" s="1" t="s">
        <v>28</v>
      </c>
      <c r="C297" t="s">
        <v>29</v>
      </c>
      <c r="D297" t="s">
        <v>30</v>
      </c>
      <c r="E297" t="s">
        <v>31</v>
      </c>
      <c r="F297">
        <v>27930</v>
      </c>
      <c r="G297" t="s">
        <v>10</v>
      </c>
      <c r="H297">
        <v>15000</v>
      </c>
      <c r="I297">
        <f t="shared" si="4"/>
        <v>2793</v>
      </c>
    </row>
    <row r="298" spans="1:9" x14ac:dyDescent="0.3">
      <c r="A298" s="2">
        <v>45890</v>
      </c>
      <c r="B298" s="1" t="s">
        <v>38</v>
      </c>
      <c r="C298" t="s">
        <v>39</v>
      </c>
      <c r="D298" t="s">
        <v>40</v>
      </c>
      <c r="E298" t="s">
        <v>31</v>
      </c>
      <c r="F298">
        <v>28395</v>
      </c>
      <c r="G298" t="s">
        <v>12</v>
      </c>
      <c r="H298">
        <v>15000</v>
      </c>
      <c r="I298">
        <f t="shared" si="4"/>
        <v>2839.5</v>
      </c>
    </row>
    <row r="299" spans="1:9" x14ac:dyDescent="0.3">
      <c r="A299" s="2">
        <v>45890</v>
      </c>
      <c r="B299" s="1" t="s">
        <v>32</v>
      </c>
      <c r="C299" t="s">
        <v>33</v>
      </c>
      <c r="D299" t="s">
        <v>34</v>
      </c>
      <c r="E299" t="s">
        <v>31</v>
      </c>
      <c r="F299">
        <v>28464.9</v>
      </c>
      <c r="G299" t="s">
        <v>12</v>
      </c>
      <c r="H299">
        <v>15000</v>
      </c>
      <c r="I299">
        <f t="shared" si="4"/>
        <v>2846.4900000000002</v>
      </c>
    </row>
    <row r="300" spans="1:9" x14ac:dyDescent="0.3">
      <c r="A300" s="2">
        <v>45890</v>
      </c>
      <c r="B300" s="1" t="s">
        <v>35</v>
      </c>
      <c r="C300" t="s">
        <v>36</v>
      </c>
      <c r="D300" t="s">
        <v>37</v>
      </c>
      <c r="E300" t="s">
        <v>31</v>
      </c>
      <c r="F300">
        <v>28761.599999999999</v>
      </c>
      <c r="G300" t="s">
        <v>12</v>
      </c>
      <c r="H300">
        <v>15000</v>
      </c>
      <c r="I300">
        <f t="shared" si="4"/>
        <v>2876.16</v>
      </c>
    </row>
    <row r="301" spans="1:9" x14ac:dyDescent="0.3">
      <c r="A301" s="2">
        <v>45890</v>
      </c>
      <c r="B301" s="1" t="s">
        <v>71</v>
      </c>
      <c r="C301" t="s">
        <v>72</v>
      </c>
      <c r="D301" t="s">
        <v>73</v>
      </c>
      <c r="E301" t="s">
        <v>31</v>
      </c>
      <c r="F301">
        <v>31053.4</v>
      </c>
      <c r="G301" t="s">
        <v>9</v>
      </c>
      <c r="H301">
        <v>15000</v>
      </c>
      <c r="I301">
        <f t="shared" si="4"/>
        <v>3105.34</v>
      </c>
    </row>
    <row r="302" spans="1:9" x14ac:dyDescent="0.3">
      <c r="A302" s="2">
        <v>45890</v>
      </c>
      <c r="B302" s="1" t="s">
        <v>38</v>
      </c>
      <c r="C302" t="s">
        <v>39</v>
      </c>
      <c r="D302" t="s">
        <v>40</v>
      </c>
      <c r="E302" t="s">
        <v>31</v>
      </c>
      <c r="F302">
        <v>31186.6</v>
      </c>
      <c r="G302" t="s">
        <v>9</v>
      </c>
      <c r="H302">
        <v>15000</v>
      </c>
      <c r="I302">
        <f t="shared" si="4"/>
        <v>3118.66</v>
      </c>
    </row>
    <row r="303" spans="1:9" x14ac:dyDescent="0.3">
      <c r="A303" s="2">
        <v>45890</v>
      </c>
      <c r="B303" s="1" t="s">
        <v>28</v>
      </c>
      <c r="C303" t="s">
        <v>29</v>
      </c>
      <c r="D303" t="s">
        <v>30</v>
      </c>
      <c r="E303" t="s">
        <v>31</v>
      </c>
      <c r="F303">
        <v>31999.200000000001</v>
      </c>
      <c r="G303" t="s">
        <v>10</v>
      </c>
      <c r="H303">
        <v>15000</v>
      </c>
      <c r="I303">
        <f t="shared" si="4"/>
        <v>3199.92</v>
      </c>
    </row>
    <row r="304" spans="1:9" x14ac:dyDescent="0.3">
      <c r="A304" s="2">
        <v>45890</v>
      </c>
      <c r="B304" s="1" t="s">
        <v>28</v>
      </c>
      <c r="C304" t="s">
        <v>29</v>
      </c>
      <c r="D304" t="s">
        <v>30</v>
      </c>
      <c r="E304" t="s">
        <v>31</v>
      </c>
      <c r="F304">
        <v>32282.799999999999</v>
      </c>
      <c r="G304" t="s">
        <v>10</v>
      </c>
      <c r="H304">
        <v>15000</v>
      </c>
      <c r="I304">
        <f t="shared" si="4"/>
        <v>3228.28</v>
      </c>
    </row>
    <row r="305" spans="1:9" x14ac:dyDescent="0.3">
      <c r="A305" s="2">
        <v>45890</v>
      </c>
      <c r="B305" s="1" t="s">
        <v>71</v>
      </c>
      <c r="C305" t="s">
        <v>72</v>
      </c>
      <c r="D305" t="s">
        <v>73</v>
      </c>
      <c r="E305" t="s">
        <v>31</v>
      </c>
      <c r="F305">
        <v>32524.1</v>
      </c>
      <c r="G305" t="s">
        <v>9</v>
      </c>
      <c r="H305">
        <v>15000</v>
      </c>
      <c r="I305">
        <f t="shared" si="4"/>
        <v>3252.41</v>
      </c>
    </row>
    <row r="306" spans="1:9" x14ac:dyDescent="0.3">
      <c r="A306" s="2">
        <v>45890</v>
      </c>
      <c r="B306" s="1" t="s">
        <v>54</v>
      </c>
      <c r="C306" t="s">
        <v>55</v>
      </c>
      <c r="D306" t="s">
        <v>56</v>
      </c>
      <c r="E306" t="s">
        <v>44</v>
      </c>
      <c r="F306">
        <v>23058</v>
      </c>
      <c r="G306" t="s">
        <v>12</v>
      </c>
      <c r="H306">
        <v>15000</v>
      </c>
      <c r="I306">
        <f t="shared" si="4"/>
        <v>2305.8000000000002</v>
      </c>
    </row>
    <row r="307" spans="1:9" x14ac:dyDescent="0.3">
      <c r="A307" s="2">
        <v>45890</v>
      </c>
      <c r="B307" s="1" t="s">
        <v>54</v>
      </c>
      <c r="C307" t="s">
        <v>55</v>
      </c>
      <c r="D307" t="s">
        <v>56</v>
      </c>
      <c r="E307" t="s">
        <v>44</v>
      </c>
      <c r="F307">
        <v>23240.400000000001</v>
      </c>
      <c r="G307" t="s">
        <v>10</v>
      </c>
      <c r="H307">
        <v>15000</v>
      </c>
      <c r="I307">
        <f t="shared" si="4"/>
        <v>2324.0400000000004</v>
      </c>
    </row>
    <row r="308" spans="1:9" x14ac:dyDescent="0.3">
      <c r="A308" s="2">
        <v>45890</v>
      </c>
      <c r="B308" s="1" t="s">
        <v>45</v>
      </c>
      <c r="C308" t="s">
        <v>46</v>
      </c>
      <c r="D308" t="s">
        <v>47</v>
      </c>
      <c r="E308" t="s">
        <v>44</v>
      </c>
      <c r="F308">
        <v>23997.599999999999</v>
      </c>
      <c r="G308" t="s">
        <v>9</v>
      </c>
      <c r="H308">
        <v>15000</v>
      </c>
      <c r="I308">
        <f t="shared" si="4"/>
        <v>2399.7599999999998</v>
      </c>
    </row>
    <row r="309" spans="1:9" x14ac:dyDescent="0.3">
      <c r="A309" s="2">
        <v>45890</v>
      </c>
      <c r="B309" s="1" t="s">
        <v>41</v>
      </c>
      <c r="C309" t="s">
        <v>42</v>
      </c>
      <c r="D309" t="s">
        <v>43</v>
      </c>
      <c r="E309" t="s">
        <v>44</v>
      </c>
      <c r="F309">
        <v>24080</v>
      </c>
      <c r="G309" t="s">
        <v>9</v>
      </c>
      <c r="H309">
        <v>15000</v>
      </c>
      <c r="I309">
        <f t="shared" si="4"/>
        <v>2408</v>
      </c>
    </row>
    <row r="310" spans="1:9" x14ac:dyDescent="0.3">
      <c r="A310" s="2">
        <v>45890</v>
      </c>
      <c r="B310" s="1" t="s">
        <v>48</v>
      </c>
      <c r="C310" t="s">
        <v>49</v>
      </c>
      <c r="D310" t="s">
        <v>50</v>
      </c>
      <c r="E310" t="s">
        <v>44</v>
      </c>
      <c r="F310">
        <v>24236</v>
      </c>
      <c r="G310" t="s">
        <v>9</v>
      </c>
      <c r="H310">
        <v>15000</v>
      </c>
      <c r="I310">
        <f t="shared" si="4"/>
        <v>2423.6</v>
      </c>
    </row>
    <row r="311" spans="1:9" x14ac:dyDescent="0.3">
      <c r="A311" s="2">
        <v>45890</v>
      </c>
      <c r="B311" s="1" t="s">
        <v>45</v>
      </c>
      <c r="C311" t="s">
        <v>46</v>
      </c>
      <c r="D311" t="s">
        <v>47</v>
      </c>
      <c r="E311" t="s">
        <v>44</v>
      </c>
      <c r="F311">
        <v>24544</v>
      </c>
      <c r="G311" t="s">
        <v>10</v>
      </c>
      <c r="H311">
        <v>15000</v>
      </c>
      <c r="I311">
        <f t="shared" si="4"/>
        <v>2454.4</v>
      </c>
    </row>
    <row r="312" spans="1:9" x14ac:dyDescent="0.3">
      <c r="A312" s="2">
        <v>45890</v>
      </c>
      <c r="B312" s="1" t="s">
        <v>54</v>
      </c>
      <c r="C312" t="s">
        <v>55</v>
      </c>
      <c r="D312" t="s">
        <v>56</v>
      </c>
      <c r="E312" t="s">
        <v>44</v>
      </c>
      <c r="F312">
        <v>24579.8</v>
      </c>
      <c r="G312" t="s">
        <v>9</v>
      </c>
      <c r="H312">
        <v>15000</v>
      </c>
      <c r="I312">
        <f t="shared" si="4"/>
        <v>2457.98</v>
      </c>
    </row>
    <row r="313" spans="1:9" x14ac:dyDescent="0.3">
      <c r="A313" s="2">
        <v>45890</v>
      </c>
      <c r="B313" s="1" t="s">
        <v>48</v>
      </c>
      <c r="C313" t="s">
        <v>49</v>
      </c>
      <c r="D313" t="s">
        <v>50</v>
      </c>
      <c r="E313" t="s">
        <v>44</v>
      </c>
      <c r="F313">
        <v>25560</v>
      </c>
      <c r="G313" t="s">
        <v>9</v>
      </c>
      <c r="H313">
        <v>15000</v>
      </c>
      <c r="I313">
        <f t="shared" si="4"/>
        <v>2556</v>
      </c>
    </row>
    <row r="314" spans="1:9" x14ac:dyDescent="0.3">
      <c r="A314" s="2">
        <v>45890</v>
      </c>
      <c r="B314" s="1" t="s">
        <v>54</v>
      </c>
      <c r="C314" t="s">
        <v>55</v>
      </c>
      <c r="D314" t="s">
        <v>56</v>
      </c>
      <c r="E314" t="s">
        <v>44</v>
      </c>
      <c r="F314">
        <v>25946.3</v>
      </c>
      <c r="G314" t="s">
        <v>12</v>
      </c>
      <c r="H314">
        <v>15000</v>
      </c>
      <c r="I314">
        <f t="shared" si="4"/>
        <v>2594.63</v>
      </c>
    </row>
    <row r="315" spans="1:9" x14ac:dyDescent="0.3">
      <c r="A315" s="2">
        <v>45890</v>
      </c>
      <c r="B315" s="1" t="s">
        <v>41</v>
      </c>
      <c r="C315" t="s">
        <v>42</v>
      </c>
      <c r="D315" t="s">
        <v>43</v>
      </c>
      <c r="E315" t="s">
        <v>44</v>
      </c>
      <c r="F315">
        <v>26200</v>
      </c>
      <c r="G315" t="s">
        <v>10</v>
      </c>
      <c r="H315">
        <v>15000</v>
      </c>
      <c r="I315">
        <f t="shared" si="4"/>
        <v>2620</v>
      </c>
    </row>
    <row r="316" spans="1:9" x14ac:dyDescent="0.3">
      <c r="A316" s="2">
        <v>45890</v>
      </c>
      <c r="B316" s="1" t="s">
        <v>51</v>
      </c>
      <c r="C316" t="s">
        <v>52</v>
      </c>
      <c r="D316" t="s">
        <v>53</v>
      </c>
      <c r="E316" t="s">
        <v>44</v>
      </c>
      <c r="F316">
        <v>26556.799999999999</v>
      </c>
      <c r="G316" t="s">
        <v>10</v>
      </c>
      <c r="H316">
        <v>15000</v>
      </c>
      <c r="I316">
        <f t="shared" si="4"/>
        <v>2655.6800000000003</v>
      </c>
    </row>
    <row r="317" spans="1:9" x14ac:dyDescent="0.3">
      <c r="A317" s="2">
        <v>45890</v>
      </c>
      <c r="B317" s="1" t="s">
        <v>41</v>
      </c>
      <c r="C317" t="s">
        <v>42</v>
      </c>
      <c r="D317" t="s">
        <v>43</v>
      </c>
      <c r="E317" t="s">
        <v>44</v>
      </c>
      <c r="F317">
        <v>27350.400000000001</v>
      </c>
      <c r="G317" t="s">
        <v>12</v>
      </c>
      <c r="H317">
        <v>15000</v>
      </c>
      <c r="I317">
        <f t="shared" si="4"/>
        <v>2735.0400000000004</v>
      </c>
    </row>
    <row r="318" spans="1:9" x14ac:dyDescent="0.3">
      <c r="A318" s="2">
        <v>45890</v>
      </c>
      <c r="B318" s="1" t="s">
        <v>48</v>
      </c>
      <c r="C318" t="s">
        <v>49</v>
      </c>
      <c r="D318" t="s">
        <v>50</v>
      </c>
      <c r="E318" t="s">
        <v>44</v>
      </c>
      <c r="F318">
        <v>27531</v>
      </c>
      <c r="G318" t="s">
        <v>12</v>
      </c>
      <c r="H318">
        <v>15000</v>
      </c>
      <c r="I318">
        <f t="shared" si="4"/>
        <v>2753.1000000000004</v>
      </c>
    </row>
    <row r="319" spans="1:9" x14ac:dyDescent="0.3">
      <c r="A319" s="2">
        <v>45890</v>
      </c>
      <c r="B319" s="1" t="s">
        <v>51</v>
      </c>
      <c r="C319" t="s">
        <v>52</v>
      </c>
      <c r="D319" t="s">
        <v>53</v>
      </c>
      <c r="E319" t="s">
        <v>44</v>
      </c>
      <c r="F319">
        <v>28286.400000000001</v>
      </c>
      <c r="G319" t="s">
        <v>9</v>
      </c>
      <c r="H319">
        <v>15000</v>
      </c>
      <c r="I319">
        <f t="shared" si="4"/>
        <v>2828.6400000000003</v>
      </c>
    </row>
    <row r="320" spans="1:9" x14ac:dyDescent="0.3">
      <c r="A320" s="2">
        <v>45890</v>
      </c>
      <c r="B320" s="1" t="s">
        <v>48</v>
      </c>
      <c r="C320" t="s">
        <v>49</v>
      </c>
      <c r="D320" t="s">
        <v>50</v>
      </c>
      <c r="E320" t="s">
        <v>44</v>
      </c>
      <c r="F320">
        <v>28616</v>
      </c>
      <c r="G320" t="s">
        <v>12</v>
      </c>
      <c r="H320">
        <v>15000</v>
      </c>
      <c r="I320">
        <f t="shared" si="4"/>
        <v>2861.6000000000004</v>
      </c>
    </row>
    <row r="321" spans="1:9" x14ac:dyDescent="0.3">
      <c r="A321" s="2">
        <v>45890</v>
      </c>
      <c r="B321" s="1" t="s">
        <v>15</v>
      </c>
      <c r="C321" t="s">
        <v>16</v>
      </c>
      <c r="D321" t="s">
        <v>17</v>
      </c>
      <c r="E321" t="s">
        <v>18</v>
      </c>
      <c r="F321">
        <v>26546.6</v>
      </c>
      <c r="G321" t="s">
        <v>10</v>
      </c>
      <c r="H321">
        <v>15000</v>
      </c>
      <c r="I321">
        <f t="shared" si="4"/>
        <v>2654.66</v>
      </c>
    </row>
    <row r="322" spans="1:9" x14ac:dyDescent="0.3">
      <c r="A322" s="2">
        <v>45890</v>
      </c>
      <c r="B322" s="1" t="s">
        <v>68</v>
      </c>
      <c r="C322" t="s">
        <v>69</v>
      </c>
      <c r="D322" t="s">
        <v>70</v>
      </c>
      <c r="E322" t="s">
        <v>18</v>
      </c>
      <c r="F322">
        <v>27930</v>
      </c>
      <c r="G322" t="s">
        <v>9</v>
      </c>
      <c r="H322">
        <v>15000</v>
      </c>
      <c r="I322">
        <f t="shared" si="4"/>
        <v>2793</v>
      </c>
    </row>
    <row r="323" spans="1:9" x14ac:dyDescent="0.3">
      <c r="A323" s="2">
        <v>45890</v>
      </c>
      <c r="B323" s="1" t="s">
        <v>22</v>
      </c>
      <c r="C323" t="s">
        <v>23</v>
      </c>
      <c r="D323" t="s">
        <v>24</v>
      </c>
      <c r="E323" t="s">
        <v>18</v>
      </c>
      <c r="F323">
        <v>29158.400000000001</v>
      </c>
      <c r="G323" t="s">
        <v>10</v>
      </c>
      <c r="H323">
        <v>15000</v>
      </c>
      <c r="I323">
        <f t="shared" ref="I323:I386" si="5">IF(F323&gt;=H323,0.1*F323,0)</f>
        <v>2915.84</v>
      </c>
    </row>
    <row r="324" spans="1:9" x14ac:dyDescent="0.3">
      <c r="A324" s="2">
        <v>45890</v>
      </c>
      <c r="B324" s="1" t="s">
        <v>19</v>
      </c>
      <c r="C324" t="s">
        <v>20</v>
      </c>
      <c r="D324" t="s">
        <v>21</v>
      </c>
      <c r="E324" t="s">
        <v>18</v>
      </c>
      <c r="F324">
        <v>30305</v>
      </c>
      <c r="G324" t="s">
        <v>9</v>
      </c>
      <c r="H324">
        <v>15000</v>
      </c>
      <c r="I324">
        <f t="shared" si="5"/>
        <v>3030.5</v>
      </c>
    </row>
    <row r="325" spans="1:9" x14ac:dyDescent="0.3">
      <c r="A325" s="2">
        <v>45890</v>
      </c>
      <c r="B325" s="1" t="s">
        <v>25</v>
      </c>
      <c r="C325" t="s">
        <v>26</v>
      </c>
      <c r="D325" t="s">
        <v>27</v>
      </c>
      <c r="E325" t="s">
        <v>18</v>
      </c>
      <c r="F325">
        <v>30776.799999999999</v>
      </c>
      <c r="G325" t="s">
        <v>9</v>
      </c>
      <c r="H325">
        <v>15000</v>
      </c>
      <c r="I325">
        <f t="shared" si="5"/>
        <v>3077.6800000000003</v>
      </c>
    </row>
    <row r="326" spans="1:9" x14ac:dyDescent="0.3">
      <c r="A326" s="2">
        <v>45890</v>
      </c>
      <c r="B326" s="1" t="s">
        <v>15</v>
      </c>
      <c r="C326" t="s">
        <v>16</v>
      </c>
      <c r="D326" t="s">
        <v>17</v>
      </c>
      <c r="E326" t="s">
        <v>18</v>
      </c>
      <c r="F326">
        <v>31200</v>
      </c>
      <c r="G326" t="s">
        <v>10</v>
      </c>
      <c r="H326">
        <v>15000</v>
      </c>
      <c r="I326">
        <f t="shared" si="5"/>
        <v>3120</v>
      </c>
    </row>
    <row r="327" spans="1:9" x14ac:dyDescent="0.3">
      <c r="A327" s="2">
        <v>45890</v>
      </c>
      <c r="B327" s="1" t="s">
        <v>25</v>
      </c>
      <c r="C327" t="s">
        <v>26</v>
      </c>
      <c r="D327" t="s">
        <v>27</v>
      </c>
      <c r="E327" t="s">
        <v>18</v>
      </c>
      <c r="F327">
        <v>31970.799999999999</v>
      </c>
      <c r="G327" t="s">
        <v>9</v>
      </c>
      <c r="H327">
        <v>15000</v>
      </c>
      <c r="I327">
        <f t="shared" si="5"/>
        <v>3197.08</v>
      </c>
    </row>
    <row r="328" spans="1:9" x14ac:dyDescent="0.3">
      <c r="A328" s="2">
        <v>45890</v>
      </c>
      <c r="B328" s="1" t="s">
        <v>64</v>
      </c>
      <c r="C328" t="s">
        <v>11</v>
      </c>
      <c r="D328" t="s">
        <v>65</v>
      </c>
      <c r="E328" t="s">
        <v>8</v>
      </c>
      <c r="F328">
        <v>22477.9</v>
      </c>
      <c r="G328" t="s">
        <v>10</v>
      </c>
      <c r="H328">
        <v>15000</v>
      </c>
      <c r="I328">
        <f t="shared" si="5"/>
        <v>2247.7900000000004</v>
      </c>
    </row>
    <row r="329" spans="1:9" x14ac:dyDescent="0.3">
      <c r="A329" s="2">
        <v>45890</v>
      </c>
      <c r="B329" s="1" t="s">
        <v>60</v>
      </c>
      <c r="C329" t="s">
        <v>14</v>
      </c>
      <c r="D329" t="s">
        <v>61</v>
      </c>
      <c r="E329" t="s">
        <v>8</v>
      </c>
      <c r="F329">
        <v>23364</v>
      </c>
      <c r="G329" t="s">
        <v>10</v>
      </c>
      <c r="H329">
        <v>15000</v>
      </c>
      <c r="I329">
        <f t="shared" si="5"/>
        <v>2336.4</v>
      </c>
    </row>
    <row r="330" spans="1:9" x14ac:dyDescent="0.3">
      <c r="A330" s="2">
        <v>45890</v>
      </c>
      <c r="B330" s="1" t="s">
        <v>64</v>
      </c>
      <c r="C330" t="s">
        <v>11</v>
      </c>
      <c r="D330" t="s">
        <v>65</v>
      </c>
      <c r="E330" t="s">
        <v>8</v>
      </c>
      <c r="F330">
        <v>23997.599999999999</v>
      </c>
      <c r="G330" t="s">
        <v>9</v>
      </c>
      <c r="H330">
        <v>15000</v>
      </c>
      <c r="I330">
        <f t="shared" si="5"/>
        <v>2399.7599999999998</v>
      </c>
    </row>
    <row r="331" spans="1:9" x14ac:dyDescent="0.3">
      <c r="A331" s="2">
        <v>45890</v>
      </c>
      <c r="B331" s="1" t="s">
        <v>62</v>
      </c>
      <c r="C331" t="s">
        <v>13</v>
      </c>
      <c r="D331" t="s">
        <v>63</v>
      </c>
      <c r="E331" t="s">
        <v>8</v>
      </c>
      <c r="F331">
        <v>24395.1</v>
      </c>
      <c r="G331" t="s">
        <v>9</v>
      </c>
      <c r="H331">
        <v>15000</v>
      </c>
      <c r="I331">
        <f t="shared" si="5"/>
        <v>2439.5099999999998</v>
      </c>
    </row>
    <row r="332" spans="1:9" x14ac:dyDescent="0.3">
      <c r="A332" s="2">
        <v>45890</v>
      </c>
      <c r="B332" s="1" t="s">
        <v>60</v>
      </c>
      <c r="C332" t="s">
        <v>14</v>
      </c>
      <c r="D332" t="s">
        <v>61</v>
      </c>
      <c r="E332" t="s">
        <v>8</v>
      </c>
      <c r="F332">
        <v>25102.400000000001</v>
      </c>
      <c r="G332" t="s">
        <v>10</v>
      </c>
      <c r="H332">
        <v>15000</v>
      </c>
      <c r="I332">
        <f t="shared" si="5"/>
        <v>2510.2400000000002</v>
      </c>
    </row>
    <row r="333" spans="1:9" x14ac:dyDescent="0.3">
      <c r="A333" s="2">
        <v>45894</v>
      </c>
      <c r="B333" s="1" t="s">
        <v>41</v>
      </c>
      <c r="C333" t="s">
        <v>42</v>
      </c>
      <c r="D333" t="s">
        <v>43</v>
      </c>
      <c r="E333" t="s">
        <v>44</v>
      </c>
      <c r="F333">
        <v>28628.799999999999</v>
      </c>
      <c r="G333" t="s">
        <v>12</v>
      </c>
      <c r="H333">
        <v>15000</v>
      </c>
      <c r="I333">
        <f t="shared" si="5"/>
        <v>2862.88</v>
      </c>
    </row>
    <row r="334" spans="1:9" x14ac:dyDescent="0.3">
      <c r="A334" s="2">
        <v>45894</v>
      </c>
      <c r="B334" s="1" t="s">
        <v>48</v>
      </c>
      <c r="C334" t="s">
        <v>49</v>
      </c>
      <c r="D334" t="s">
        <v>50</v>
      </c>
      <c r="E334" t="s">
        <v>44</v>
      </c>
      <c r="F334">
        <v>28845</v>
      </c>
      <c r="G334" t="s">
        <v>10</v>
      </c>
      <c r="H334">
        <v>15000</v>
      </c>
      <c r="I334">
        <f t="shared" si="5"/>
        <v>2884.5</v>
      </c>
    </row>
    <row r="335" spans="1:9" x14ac:dyDescent="0.3">
      <c r="A335" s="2">
        <v>45894</v>
      </c>
      <c r="B335" s="1" t="s">
        <v>41</v>
      </c>
      <c r="C335" t="s">
        <v>42</v>
      </c>
      <c r="D335" t="s">
        <v>43</v>
      </c>
      <c r="E335" t="s">
        <v>44</v>
      </c>
      <c r="F335">
        <v>30368</v>
      </c>
      <c r="G335" t="s">
        <v>10</v>
      </c>
      <c r="H335">
        <v>15000</v>
      </c>
      <c r="I335">
        <f t="shared" si="5"/>
        <v>3036.8</v>
      </c>
    </row>
    <row r="336" spans="1:9" x14ac:dyDescent="0.3">
      <c r="A336" s="2">
        <v>45894</v>
      </c>
      <c r="B336" s="1" t="s">
        <v>45</v>
      </c>
      <c r="C336" t="s">
        <v>46</v>
      </c>
      <c r="D336" t="s">
        <v>47</v>
      </c>
      <c r="E336" t="s">
        <v>44</v>
      </c>
      <c r="F336">
        <v>30377.4</v>
      </c>
      <c r="G336" t="s">
        <v>12</v>
      </c>
      <c r="H336">
        <v>15000</v>
      </c>
      <c r="I336">
        <f t="shared" si="5"/>
        <v>3037.7400000000002</v>
      </c>
    </row>
    <row r="337" spans="1:9" x14ac:dyDescent="0.3">
      <c r="A337" s="2">
        <v>45894</v>
      </c>
      <c r="B337" s="1" t="s">
        <v>66</v>
      </c>
      <c r="C337" t="s">
        <v>7</v>
      </c>
      <c r="D337" t="s">
        <v>67</v>
      </c>
      <c r="E337" t="s">
        <v>8</v>
      </c>
      <c r="F337">
        <v>26866</v>
      </c>
      <c r="G337" t="s">
        <v>12</v>
      </c>
      <c r="H337">
        <v>15000</v>
      </c>
      <c r="I337">
        <f t="shared" si="5"/>
        <v>2686.6000000000004</v>
      </c>
    </row>
    <row r="338" spans="1:9" x14ac:dyDescent="0.3">
      <c r="A338" s="2">
        <v>45894</v>
      </c>
      <c r="B338" s="1" t="s">
        <v>60</v>
      </c>
      <c r="C338" t="s">
        <v>14</v>
      </c>
      <c r="D338" t="s">
        <v>61</v>
      </c>
      <c r="E338" t="s">
        <v>8</v>
      </c>
      <c r="F338">
        <v>27670.9</v>
      </c>
      <c r="G338" t="s">
        <v>12</v>
      </c>
      <c r="H338">
        <v>15000</v>
      </c>
      <c r="I338">
        <f t="shared" si="5"/>
        <v>2767.09</v>
      </c>
    </row>
    <row r="339" spans="1:9" x14ac:dyDescent="0.3">
      <c r="A339" s="2">
        <v>45894</v>
      </c>
      <c r="B339" s="1" t="s">
        <v>66</v>
      </c>
      <c r="C339" t="s">
        <v>7</v>
      </c>
      <c r="D339" t="s">
        <v>67</v>
      </c>
      <c r="E339" t="s">
        <v>8</v>
      </c>
      <c r="F339">
        <v>27916.400000000001</v>
      </c>
      <c r="G339" t="s">
        <v>12</v>
      </c>
      <c r="H339">
        <v>15000</v>
      </c>
      <c r="I339">
        <f t="shared" si="5"/>
        <v>2791.6400000000003</v>
      </c>
    </row>
    <row r="340" spans="1:9" x14ac:dyDescent="0.3">
      <c r="A340" s="2">
        <v>45894</v>
      </c>
      <c r="B340" s="1" t="s">
        <v>60</v>
      </c>
      <c r="C340" t="s">
        <v>14</v>
      </c>
      <c r="D340" t="s">
        <v>61</v>
      </c>
      <c r="E340" t="s">
        <v>8</v>
      </c>
      <c r="F340">
        <v>27956.799999999999</v>
      </c>
      <c r="G340" t="s">
        <v>10</v>
      </c>
      <c r="H340">
        <v>15000</v>
      </c>
      <c r="I340">
        <f t="shared" si="5"/>
        <v>2795.6800000000003</v>
      </c>
    </row>
    <row r="341" spans="1:9" x14ac:dyDescent="0.3">
      <c r="A341" s="2">
        <v>45921</v>
      </c>
      <c r="B341" s="1" t="s">
        <v>28</v>
      </c>
      <c r="C341" t="s">
        <v>29</v>
      </c>
      <c r="D341" t="s">
        <v>30</v>
      </c>
      <c r="E341" t="s">
        <v>31</v>
      </c>
      <c r="F341">
        <v>34353.5</v>
      </c>
      <c r="G341" t="s">
        <v>10</v>
      </c>
      <c r="H341">
        <v>15000</v>
      </c>
      <c r="I341">
        <f t="shared" si="5"/>
        <v>3435.3500000000004</v>
      </c>
    </row>
    <row r="342" spans="1:9" x14ac:dyDescent="0.3">
      <c r="A342" s="2">
        <v>45921</v>
      </c>
      <c r="B342" s="1" t="s">
        <v>28</v>
      </c>
      <c r="C342" t="s">
        <v>29</v>
      </c>
      <c r="D342" t="s">
        <v>30</v>
      </c>
      <c r="E342" t="s">
        <v>31</v>
      </c>
      <c r="F342">
        <v>35153.800000000003</v>
      </c>
      <c r="G342" t="s">
        <v>9</v>
      </c>
      <c r="H342">
        <v>15000</v>
      </c>
      <c r="I342">
        <f t="shared" si="5"/>
        <v>3515.3800000000006</v>
      </c>
    </row>
    <row r="343" spans="1:9" x14ac:dyDescent="0.3">
      <c r="A343" s="2">
        <v>45921</v>
      </c>
      <c r="B343" s="1" t="s">
        <v>28</v>
      </c>
      <c r="C343" t="s">
        <v>29</v>
      </c>
      <c r="D343" t="s">
        <v>30</v>
      </c>
      <c r="E343" t="s">
        <v>31</v>
      </c>
      <c r="F343">
        <v>35820</v>
      </c>
      <c r="G343" t="s">
        <v>12</v>
      </c>
      <c r="H343">
        <v>15000</v>
      </c>
      <c r="I343">
        <f t="shared" si="5"/>
        <v>3582</v>
      </c>
    </row>
    <row r="344" spans="1:9" x14ac:dyDescent="0.3">
      <c r="A344" s="2">
        <v>45921</v>
      </c>
      <c r="B344" s="1" t="s">
        <v>38</v>
      </c>
      <c r="C344" t="s">
        <v>39</v>
      </c>
      <c r="D344" t="s">
        <v>40</v>
      </c>
      <c r="E344" t="s">
        <v>31</v>
      </c>
      <c r="F344">
        <v>37520</v>
      </c>
      <c r="G344" t="s">
        <v>10</v>
      </c>
      <c r="H344">
        <v>15000</v>
      </c>
      <c r="I344">
        <f t="shared" si="5"/>
        <v>3752</v>
      </c>
    </row>
    <row r="345" spans="1:9" x14ac:dyDescent="0.3">
      <c r="A345" s="2">
        <v>45921</v>
      </c>
      <c r="B345" s="1" t="s">
        <v>38</v>
      </c>
      <c r="C345" t="s">
        <v>39</v>
      </c>
      <c r="D345" t="s">
        <v>40</v>
      </c>
      <c r="E345" t="s">
        <v>31</v>
      </c>
      <c r="F345">
        <v>37544.800000000003</v>
      </c>
      <c r="G345" t="s">
        <v>9</v>
      </c>
      <c r="H345">
        <v>15000</v>
      </c>
      <c r="I345">
        <f t="shared" si="5"/>
        <v>3754.4800000000005</v>
      </c>
    </row>
    <row r="346" spans="1:9" x14ac:dyDescent="0.3">
      <c r="A346" s="2">
        <v>45921</v>
      </c>
      <c r="B346" s="1" t="s">
        <v>54</v>
      </c>
      <c r="C346" t="s">
        <v>55</v>
      </c>
      <c r="D346" t="s">
        <v>56</v>
      </c>
      <c r="E346" t="s">
        <v>44</v>
      </c>
      <c r="F346">
        <v>32795.699999999997</v>
      </c>
      <c r="G346" t="s">
        <v>10</v>
      </c>
      <c r="H346">
        <v>15000</v>
      </c>
      <c r="I346">
        <f t="shared" si="5"/>
        <v>3279.5699999999997</v>
      </c>
    </row>
    <row r="347" spans="1:9" x14ac:dyDescent="0.3">
      <c r="A347" s="2">
        <v>45921</v>
      </c>
      <c r="B347" s="1" t="s">
        <v>51</v>
      </c>
      <c r="C347" t="s">
        <v>52</v>
      </c>
      <c r="D347" t="s">
        <v>53</v>
      </c>
      <c r="E347" t="s">
        <v>44</v>
      </c>
      <c r="F347">
        <v>33132.6</v>
      </c>
      <c r="G347" t="s">
        <v>12</v>
      </c>
      <c r="H347">
        <v>15000</v>
      </c>
      <c r="I347">
        <f t="shared" si="5"/>
        <v>3313.26</v>
      </c>
    </row>
    <row r="348" spans="1:9" x14ac:dyDescent="0.3">
      <c r="A348" s="2">
        <v>45921</v>
      </c>
      <c r="B348" s="1" t="s">
        <v>48</v>
      </c>
      <c r="C348" t="s">
        <v>49</v>
      </c>
      <c r="D348" t="s">
        <v>50</v>
      </c>
      <c r="E348" t="s">
        <v>44</v>
      </c>
      <c r="F348">
        <v>35351</v>
      </c>
      <c r="G348" t="s">
        <v>10</v>
      </c>
      <c r="H348">
        <v>15000</v>
      </c>
      <c r="I348">
        <f t="shared" si="5"/>
        <v>3535.1000000000004</v>
      </c>
    </row>
    <row r="349" spans="1:9" x14ac:dyDescent="0.3">
      <c r="A349" s="2">
        <v>45921</v>
      </c>
      <c r="B349" s="1" t="s">
        <v>48</v>
      </c>
      <c r="C349" t="s">
        <v>49</v>
      </c>
      <c r="D349" t="s">
        <v>50</v>
      </c>
      <c r="E349" t="s">
        <v>44</v>
      </c>
      <c r="F349">
        <v>35640</v>
      </c>
      <c r="G349" t="s">
        <v>9</v>
      </c>
      <c r="H349">
        <v>15000</v>
      </c>
      <c r="I349">
        <f t="shared" si="5"/>
        <v>3564</v>
      </c>
    </row>
    <row r="350" spans="1:9" x14ac:dyDescent="0.3">
      <c r="A350" s="2">
        <v>45921</v>
      </c>
      <c r="B350" s="1" t="s">
        <v>45</v>
      </c>
      <c r="C350" t="s">
        <v>46</v>
      </c>
      <c r="D350" t="s">
        <v>47</v>
      </c>
      <c r="E350" t="s">
        <v>44</v>
      </c>
      <c r="F350">
        <v>35695</v>
      </c>
      <c r="G350" t="s">
        <v>10</v>
      </c>
      <c r="H350">
        <v>15000</v>
      </c>
      <c r="I350">
        <f t="shared" si="5"/>
        <v>3569.5</v>
      </c>
    </row>
    <row r="351" spans="1:9" x14ac:dyDescent="0.3">
      <c r="A351" s="2">
        <v>45921</v>
      </c>
      <c r="B351" s="1" t="s">
        <v>41</v>
      </c>
      <c r="C351" t="s">
        <v>42</v>
      </c>
      <c r="D351" t="s">
        <v>43</v>
      </c>
      <c r="E351" t="s">
        <v>44</v>
      </c>
      <c r="F351">
        <v>35715.4</v>
      </c>
      <c r="G351" t="s">
        <v>10</v>
      </c>
      <c r="H351">
        <v>15000</v>
      </c>
      <c r="I351">
        <f t="shared" si="5"/>
        <v>3571.5400000000004</v>
      </c>
    </row>
    <row r="352" spans="1:9" x14ac:dyDescent="0.3">
      <c r="A352" s="2">
        <v>45921</v>
      </c>
      <c r="B352" s="1" t="s">
        <v>45</v>
      </c>
      <c r="C352" t="s">
        <v>46</v>
      </c>
      <c r="D352" t="s">
        <v>47</v>
      </c>
      <c r="E352" t="s">
        <v>44</v>
      </c>
      <c r="F352">
        <v>35715.4</v>
      </c>
      <c r="G352" t="s">
        <v>12</v>
      </c>
      <c r="H352">
        <v>15000</v>
      </c>
      <c r="I352">
        <f t="shared" si="5"/>
        <v>3571.5400000000004</v>
      </c>
    </row>
    <row r="353" spans="1:9" x14ac:dyDescent="0.3">
      <c r="A353" s="2">
        <v>45921</v>
      </c>
      <c r="B353" s="1" t="s">
        <v>45</v>
      </c>
      <c r="C353" t="s">
        <v>46</v>
      </c>
      <c r="D353" t="s">
        <v>47</v>
      </c>
      <c r="E353" t="s">
        <v>44</v>
      </c>
      <c r="F353">
        <v>37560</v>
      </c>
      <c r="G353" t="s">
        <v>12</v>
      </c>
      <c r="H353">
        <v>15000</v>
      </c>
      <c r="I353">
        <f t="shared" si="5"/>
        <v>3756</v>
      </c>
    </row>
    <row r="354" spans="1:9" x14ac:dyDescent="0.3">
      <c r="A354" s="2">
        <v>45921</v>
      </c>
      <c r="B354" s="1" t="s">
        <v>51</v>
      </c>
      <c r="C354" t="s">
        <v>52</v>
      </c>
      <c r="D354" t="s">
        <v>53</v>
      </c>
      <c r="E354" t="s">
        <v>44</v>
      </c>
      <c r="F354">
        <v>38570</v>
      </c>
      <c r="G354" t="s">
        <v>9</v>
      </c>
      <c r="H354">
        <v>15000</v>
      </c>
      <c r="I354">
        <f t="shared" si="5"/>
        <v>3857</v>
      </c>
    </row>
    <row r="355" spans="1:9" x14ac:dyDescent="0.3">
      <c r="A355" s="2">
        <v>45921</v>
      </c>
      <c r="B355" s="1" t="s">
        <v>41</v>
      </c>
      <c r="C355" t="s">
        <v>42</v>
      </c>
      <c r="D355" t="s">
        <v>43</v>
      </c>
      <c r="E355" t="s">
        <v>44</v>
      </c>
      <c r="F355">
        <v>39199.599999999999</v>
      </c>
      <c r="G355" t="s">
        <v>12</v>
      </c>
      <c r="H355">
        <v>15000</v>
      </c>
      <c r="I355">
        <f t="shared" si="5"/>
        <v>3919.96</v>
      </c>
    </row>
    <row r="356" spans="1:9" x14ac:dyDescent="0.3">
      <c r="A356" s="2">
        <v>45921</v>
      </c>
      <c r="B356" s="1" t="s">
        <v>68</v>
      </c>
      <c r="C356" t="s">
        <v>69</v>
      </c>
      <c r="D356" t="s">
        <v>70</v>
      </c>
      <c r="E356" t="s">
        <v>18</v>
      </c>
      <c r="F356">
        <v>33694.800000000003</v>
      </c>
      <c r="G356" t="s">
        <v>10</v>
      </c>
      <c r="H356">
        <v>15000</v>
      </c>
      <c r="I356">
        <f t="shared" si="5"/>
        <v>3369.4800000000005</v>
      </c>
    </row>
    <row r="357" spans="1:9" x14ac:dyDescent="0.3">
      <c r="A357" s="2">
        <v>45921</v>
      </c>
      <c r="B357" s="1" t="s">
        <v>19</v>
      </c>
      <c r="C357" t="s">
        <v>20</v>
      </c>
      <c r="D357" t="s">
        <v>21</v>
      </c>
      <c r="E357" t="s">
        <v>18</v>
      </c>
      <c r="F357">
        <v>34041.300000000003</v>
      </c>
      <c r="G357" t="s">
        <v>12</v>
      </c>
      <c r="H357">
        <v>15000</v>
      </c>
      <c r="I357">
        <f t="shared" si="5"/>
        <v>3404.1300000000006</v>
      </c>
    </row>
    <row r="358" spans="1:9" x14ac:dyDescent="0.3">
      <c r="A358" s="2">
        <v>45921</v>
      </c>
      <c r="B358" s="1" t="s">
        <v>22</v>
      </c>
      <c r="C358" t="s">
        <v>23</v>
      </c>
      <c r="D358" t="s">
        <v>24</v>
      </c>
      <c r="E358" t="s">
        <v>18</v>
      </c>
      <c r="F358">
        <v>34162</v>
      </c>
      <c r="G358" t="s">
        <v>10</v>
      </c>
      <c r="H358">
        <v>15000</v>
      </c>
      <c r="I358">
        <f t="shared" si="5"/>
        <v>3416.2000000000003</v>
      </c>
    </row>
    <row r="359" spans="1:9" x14ac:dyDescent="0.3">
      <c r="A359" s="2">
        <v>45921</v>
      </c>
      <c r="B359" s="1" t="s">
        <v>19</v>
      </c>
      <c r="C359" t="s">
        <v>20</v>
      </c>
      <c r="D359" t="s">
        <v>21</v>
      </c>
      <c r="E359" t="s">
        <v>18</v>
      </c>
      <c r="F359">
        <v>35649</v>
      </c>
      <c r="G359" t="s">
        <v>9</v>
      </c>
      <c r="H359">
        <v>15000</v>
      </c>
      <c r="I359">
        <f t="shared" si="5"/>
        <v>3564.9</v>
      </c>
    </row>
    <row r="360" spans="1:9" x14ac:dyDescent="0.3">
      <c r="A360" s="2">
        <v>45921</v>
      </c>
      <c r="B360" s="1" t="s">
        <v>25</v>
      </c>
      <c r="C360" t="s">
        <v>26</v>
      </c>
      <c r="D360" t="s">
        <v>27</v>
      </c>
      <c r="E360" t="s">
        <v>18</v>
      </c>
      <c r="F360">
        <v>36666</v>
      </c>
      <c r="G360" t="s">
        <v>10</v>
      </c>
      <c r="H360">
        <v>15000</v>
      </c>
      <c r="I360">
        <f t="shared" si="5"/>
        <v>3666.6000000000004</v>
      </c>
    </row>
    <row r="361" spans="1:9" x14ac:dyDescent="0.3">
      <c r="A361" s="2">
        <v>45921</v>
      </c>
      <c r="B361" s="1" t="s">
        <v>22</v>
      </c>
      <c r="C361" t="s">
        <v>23</v>
      </c>
      <c r="D361" t="s">
        <v>24</v>
      </c>
      <c r="E361" t="s">
        <v>18</v>
      </c>
      <c r="F361">
        <v>37374.400000000001</v>
      </c>
      <c r="G361" t="s">
        <v>12</v>
      </c>
      <c r="H361">
        <v>15000</v>
      </c>
      <c r="I361">
        <f t="shared" si="5"/>
        <v>3737.4400000000005</v>
      </c>
    </row>
    <row r="362" spans="1:9" x14ac:dyDescent="0.3">
      <c r="A362" s="2">
        <v>45921</v>
      </c>
      <c r="B362" s="1" t="s">
        <v>22</v>
      </c>
      <c r="C362" t="s">
        <v>23</v>
      </c>
      <c r="D362" t="s">
        <v>24</v>
      </c>
      <c r="E362" t="s">
        <v>18</v>
      </c>
      <c r="F362">
        <v>38227.699999999997</v>
      </c>
      <c r="G362" t="s">
        <v>9</v>
      </c>
      <c r="H362">
        <v>15000</v>
      </c>
      <c r="I362">
        <f t="shared" si="5"/>
        <v>3822.77</v>
      </c>
    </row>
    <row r="363" spans="1:9" x14ac:dyDescent="0.3">
      <c r="A363" s="2">
        <v>45921</v>
      </c>
      <c r="B363" s="1" t="s">
        <v>15</v>
      </c>
      <c r="C363" t="s">
        <v>16</v>
      </c>
      <c r="D363" t="s">
        <v>17</v>
      </c>
      <c r="E363" t="s">
        <v>18</v>
      </c>
      <c r="F363">
        <v>39065.9</v>
      </c>
      <c r="G363" t="s">
        <v>10</v>
      </c>
      <c r="H363">
        <v>15000</v>
      </c>
      <c r="I363">
        <f t="shared" si="5"/>
        <v>3906.59</v>
      </c>
    </row>
    <row r="364" spans="1:9" x14ac:dyDescent="0.3">
      <c r="A364" s="2">
        <v>45921</v>
      </c>
      <c r="B364" s="1" t="s">
        <v>19</v>
      </c>
      <c r="C364" t="s">
        <v>20</v>
      </c>
      <c r="D364" t="s">
        <v>21</v>
      </c>
      <c r="E364" t="s">
        <v>18</v>
      </c>
      <c r="F364">
        <v>39236</v>
      </c>
      <c r="G364" t="s">
        <v>12</v>
      </c>
      <c r="H364">
        <v>15000</v>
      </c>
      <c r="I364">
        <f t="shared" si="5"/>
        <v>3923.6000000000004</v>
      </c>
    </row>
    <row r="365" spans="1:9" x14ac:dyDescent="0.3">
      <c r="A365" s="2">
        <v>45921</v>
      </c>
      <c r="B365" s="1" t="s">
        <v>57</v>
      </c>
      <c r="C365" t="s">
        <v>58</v>
      </c>
      <c r="D365" t="s">
        <v>59</v>
      </c>
      <c r="E365" t="s">
        <v>8</v>
      </c>
      <c r="F365">
        <v>28395.5</v>
      </c>
      <c r="G365" t="s">
        <v>12</v>
      </c>
      <c r="H365">
        <v>15000</v>
      </c>
      <c r="I365">
        <f t="shared" si="5"/>
        <v>2839.55</v>
      </c>
    </row>
    <row r="366" spans="1:9" x14ac:dyDescent="0.3">
      <c r="A366" s="2">
        <v>45921</v>
      </c>
      <c r="B366" s="1" t="s">
        <v>66</v>
      </c>
      <c r="C366" t="s">
        <v>7</v>
      </c>
      <c r="D366" t="s">
        <v>67</v>
      </c>
      <c r="E366" t="s">
        <v>8</v>
      </c>
      <c r="F366">
        <v>31127.200000000001</v>
      </c>
      <c r="G366" t="s">
        <v>12</v>
      </c>
      <c r="H366">
        <v>15000</v>
      </c>
      <c r="I366">
        <f t="shared" si="5"/>
        <v>3112.7200000000003</v>
      </c>
    </row>
    <row r="367" spans="1:9" x14ac:dyDescent="0.3">
      <c r="A367" s="2">
        <v>45921</v>
      </c>
      <c r="B367" s="1" t="s">
        <v>62</v>
      </c>
      <c r="C367" t="s">
        <v>13</v>
      </c>
      <c r="D367" t="s">
        <v>63</v>
      </c>
      <c r="E367" t="s">
        <v>8</v>
      </c>
      <c r="F367">
        <v>31407</v>
      </c>
      <c r="G367" t="s">
        <v>10</v>
      </c>
      <c r="H367">
        <v>15000</v>
      </c>
      <c r="I367">
        <f t="shared" si="5"/>
        <v>3140.7000000000003</v>
      </c>
    </row>
    <row r="368" spans="1:9" x14ac:dyDescent="0.3">
      <c r="A368" s="2">
        <v>45921</v>
      </c>
      <c r="B368" s="1" t="s">
        <v>64</v>
      </c>
      <c r="C368" t="s">
        <v>11</v>
      </c>
      <c r="D368" t="s">
        <v>65</v>
      </c>
      <c r="E368" t="s">
        <v>8</v>
      </c>
      <c r="F368">
        <v>35647.5</v>
      </c>
      <c r="G368" t="s">
        <v>12</v>
      </c>
      <c r="H368">
        <v>15000</v>
      </c>
      <c r="I368">
        <f t="shared" si="5"/>
        <v>3564.75</v>
      </c>
    </row>
    <row r="369" spans="1:9" x14ac:dyDescent="0.3">
      <c r="A369" s="2">
        <v>45921</v>
      </c>
      <c r="B369" s="1" t="s">
        <v>64</v>
      </c>
      <c r="C369" t="s">
        <v>11</v>
      </c>
      <c r="D369" t="s">
        <v>65</v>
      </c>
      <c r="E369" t="s">
        <v>8</v>
      </c>
      <c r="F369">
        <v>36088.1</v>
      </c>
      <c r="G369" t="s">
        <v>12</v>
      </c>
      <c r="H369">
        <v>15000</v>
      </c>
      <c r="I369">
        <f t="shared" si="5"/>
        <v>3608.81</v>
      </c>
    </row>
    <row r="370" spans="1:9" x14ac:dyDescent="0.3">
      <c r="A370" s="2">
        <v>45921</v>
      </c>
      <c r="B370" s="1" t="s">
        <v>66</v>
      </c>
      <c r="C370" t="s">
        <v>7</v>
      </c>
      <c r="D370" t="s">
        <v>67</v>
      </c>
      <c r="E370" t="s">
        <v>8</v>
      </c>
      <c r="F370">
        <v>36372.1</v>
      </c>
      <c r="G370" t="s">
        <v>9</v>
      </c>
      <c r="H370">
        <v>15000</v>
      </c>
      <c r="I370">
        <f t="shared" si="5"/>
        <v>3637.21</v>
      </c>
    </row>
    <row r="371" spans="1:9" x14ac:dyDescent="0.3">
      <c r="A371" s="2">
        <v>45921</v>
      </c>
      <c r="B371" s="1" t="s">
        <v>64</v>
      </c>
      <c r="C371" t="s">
        <v>11</v>
      </c>
      <c r="D371" t="s">
        <v>65</v>
      </c>
      <c r="E371" t="s">
        <v>8</v>
      </c>
      <c r="F371">
        <v>36530.199999999997</v>
      </c>
      <c r="G371" t="s">
        <v>10</v>
      </c>
      <c r="H371">
        <v>15000</v>
      </c>
      <c r="I371">
        <f t="shared" si="5"/>
        <v>3653.02</v>
      </c>
    </row>
    <row r="372" spans="1:9" x14ac:dyDescent="0.3">
      <c r="A372" s="2">
        <v>45921</v>
      </c>
      <c r="B372" s="1" t="s">
        <v>66</v>
      </c>
      <c r="C372" t="s">
        <v>7</v>
      </c>
      <c r="D372" t="s">
        <v>67</v>
      </c>
      <c r="E372" t="s">
        <v>8</v>
      </c>
      <c r="F372">
        <v>36896.199999999997</v>
      </c>
      <c r="G372" t="s">
        <v>12</v>
      </c>
      <c r="H372">
        <v>15000</v>
      </c>
      <c r="I372">
        <f t="shared" si="5"/>
        <v>3689.62</v>
      </c>
    </row>
    <row r="373" spans="1:9" x14ac:dyDescent="0.3">
      <c r="A373" s="2">
        <v>45921</v>
      </c>
      <c r="B373" s="1" t="s">
        <v>64</v>
      </c>
      <c r="C373" t="s">
        <v>11</v>
      </c>
      <c r="D373" t="s">
        <v>65</v>
      </c>
      <c r="E373" t="s">
        <v>8</v>
      </c>
      <c r="F373">
        <v>36907.199999999997</v>
      </c>
      <c r="G373" t="s">
        <v>10</v>
      </c>
      <c r="H373">
        <v>15000</v>
      </c>
      <c r="I373">
        <f t="shared" si="5"/>
        <v>3690.72</v>
      </c>
    </row>
    <row r="374" spans="1:9" x14ac:dyDescent="0.3">
      <c r="A374" s="2">
        <v>45921</v>
      </c>
      <c r="B374" s="1" t="s">
        <v>66</v>
      </c>
      <c r="C374" t="s">
        <v>7</v>
      </c>
      <c r="D374" t="s">
        <v>67</v>
      </c>
      <c r="E374" t="s">
        <v>8</v>
      </c>
      <c r="F374">
        <v>37192.5</v>
      </c>
      <c r="G374" t="s">
        <v>12</v>
      </c>
      <c r="H374">
        <v>15000</v>
      </c>
      <c r="I374">
        <f t="shared" si="5"/>
        <v>3719.25</v>
      </c>
    </row>
    <row r="375" spans="1:9" x14ac:dyDescent="0.3">
      <c r="A375" s="2">
        <v>45921</v>
      </c>
      <c r="B375" s="1" t="s">
        <v>62</v>
      </c>
      <c r="C375" t="s">
        <v>13</v>
      </c>
      <c r="D375" t="s">
        <v>63</v>
      </c>
      <c r="E375" t="s">
        <v>8</v>
      </c>
      <c r="F375">
        <v>39186</v>
      </c>
      <c r="G375" t="s">
        <v>10</v>
      </c>
      <c r="H375">
        <v>15000</v>
      </c>
      <c r="I375">
        <f t="shared" si="5"/>
        <v>3918.6000000000004</v>
      </c>
    </row>
    <row r="376" spans="1:9" x14ac:dyDescent="0.3">
      <c r="A376" s="2">
        <v>45925</v>
      </c>
      <c r="B376" s="1" t="s">
        <v>15</v>
      </c>
      <c r="C376" t="s">
        <v>16</v>
      </c>
      <c r="D376" t="s">
        <v>17</v>
      </c>
      <c r="E376" t="s">
        <v>18</v>
      </c>
      <c r="F376">
        <v>41520</v>
      </c>
      <c r="G376" t="s">
        <v>9</v>
      </c>
      <c r="H376">
        <v>15000</v>
      </c>
      <c r="I376">
        <f t="shared" si="5"/>
        <v>4152</v>
      </c>
    </row>
    <row r="377" spans="1:9" x14ac:dyDescent="0.3">
      <c r="A377" s="2">
        <v>45925</v>
      </c>
      <c r="B377" s="1" t="s">
        <v>22</v>
      </c>
      <c r="C377" t="s">
        <v>23</v>
      </c>
      <c r="D377" t="s">
        <v>24</v>
      </c>
      <c r="E377" t="s">
        <v>18</v>
      </c>
      <c r="F377">
        <v>43088.2</v>
      </c>
      <c r="G377" t="s">
        <v>9</v>
      </c>
      <c r="H377">
        <v>15000</v>
      </c>
      <c r="I377">
        <f t="shared" si="5"/>
        <v>4308.82</v>
      </c>
    </row>
    <row r="378" spans="1:9" x14ac:dyDescent="0.3">
      <c r="A378" s="2">
        <v>45925</v>
      </c>
      <c r="B378" s="1" t="s">
        <v>25</v>
      </c>
      <c r="C378" t="s">
        <v>26</v>
      </c>
      <c r="D378" t="s">
        <v>27</v>
      </c>
      <c r="E378" t="s">
        <v>18</v>
      </c>
      <c r="F378">
        <v>43184.4</v>
      </c>
      <c r="G378" t="s">
        <v>12</v>
      </c>
      <c r="H378">
        <v>15000</v>
      </c>
      <c r="I378">
        <f t="shared" si="5"/>
        <v>4318.4400000000005</v>
      </c>
    </row>
    <row r="379" spans="1:9" x14ac:dyDescent="0.3">
      <c r="A379" s="2">
        <v>45951</v>
      </c>
      <c r="B379" s="1" t="s">
        <v>32</v>
      </c>
      <c r="C379" t="s">
        <v>33</v>
      </c>
      <c r="D379" t="s">
        <v>34</v>
      </c>
      <c r="E379" t="s">
        <v>31</v>
      </c>
      <c r="F379">
        <v>40224.800000000003</v>
      </c>
      <c r="G379" t="s">
        <v>9</v>
      </c>
      <c r="H379">
        <v>15000</v>
      </c>
      <c r="I379">
        <f t="shared" si="5"/>
        <v>4022.4800000000005</v>
      </c>
    </row>
    <row r="380" spans="1:9" x14ac:dyDescent="0.3">
      <c r="A380" s="2">
        <v>45951</v>
      </c>
      <c r="B380" s="1" t="s">
        <v>32</v>
      </c>
      <c r="C380" t="s">
        <v>33</v>
      </c>
      <c r="D380" t="s">
        <v>34</v>
      </c>
      <c r="E380" t="s">
        <v>31</v>
      </c>
      <c r="F380">
        <v>40831</v>
      </c>
      <c r="G380" t="s">
        <v>9</v>
      </c>
      <c r="H380">
        <v>15000</v>
      </c>
      <c r="I380">
        <f t="shared" si="5"/>
        <v>4083.1000000000004</v>
      </c>
    </row>
    <row r="381" spans="1:9" x14ac:dyDescent="0.3">
      <c r="A381" s="2">
        <v>45951</v>
      </c>
      <c r="B381" s="1" t="s">
        <v>38</v>
      </c>
      <c r="C381" t="s">
        <v>39</v>
      </c>
      <c r="D381" t="s">
        <v>40</v>
      </c>
      <c r="E381" t="s">
        <v>31</v>
      </c>
      <c r="F381">
        <v>41215.300000000003</v>
      </c>
      <c r="G381" t="s">
        <v>12</v>
      </c>
      <c r="H381">
        <v>15000</v>
      </c>
      <c r="I381">
        <f t="shared" si="5"/>
        <v>4121.5300000000007</v>
      </c>
    </row>
    <row r="382" spans="1:9" x14ac:dyDescent="0.3">
      <c r="A382" s="2">
        <v>45951</v>
      </c>
      <c r="B382" s="1" t="s">
        <v>71</v>
      </c>
      <c r="C382" t="s">
        <v>72</v>
      </c>
      <c r="D382" t="s">
        <v>73</v>
      </c>
      <c r="E382" t="s">
        <v>31</v>
      </c>
      <c r="F382">
        <v>41826.400000000001</v>
      </c>
      <c r="G382" t="s">
        <v>12</v>
      </c>
      <c r="H382">
        <v>15000</v>
      </c>
      <c r="I382">
        <f t="shared" si="5"/>
        <v>4182.6400000000003</v>
      </c>
    </row>
    <row r="383" spans="1:9" x14ac:dyDescent="0.3">
      <c r="A383" s="2">
        <v>45951</v>
      </c>
      <c r="B383" s="1" t="s">
        <v>32</v>
      </c>
      <c r="C383" t="s">
        <v>33</v>
      </c>
      <c r="D383" t="s">
        <v>34</v>
      </c>
      <c r="E383" t="s">
        <v>31</v>
      </c>
      <c r="F383">
        <v>41932.800000000003</v>
      </c>
      <c r="G383" t="s">
        <v>9</v>
      </c>
      <c r="H383">
        <v>15000</v>
      </c>
      <c r="I383">
        <f t="shared" si="5"/>
        <v>4193.2800000000007</v>
      </c>
    </row>
    <row r="384" spans="1:9" x14ac:dyDescent="0.3">
      <c r="A384" s="2">
        <v>45951</v>
      </c>
      <c r="B384" s="1" t="s">
        <v>28</v>
      </c>
      <c r="C384" t="s">
        <v>29</v>
      </c>
      <c r="D384" t="s">
        <v>30</v>
      </c>
      <c r="E384" t="s">
        <v>31</v>
      </c>
      <c r="F384">
        <v>42427</v>
      </c>
      <c r="G384" t="s">
        <v>10</v>
      </c>
      <c r="H384">
        <v>15000</v>
      </c>
      <c r="I384">
        <f t="shared" si="5"/>
        <v>4242.7</v>
      </c>
    </row>
    <row r="385" spans="1:9" x14ac:dyDescent="0.3">
      <c r="A385" s="2">
        <v>45951</v>
      </c>
      <c r="B385" s="1" t="s">
        <v>35</v>
      </c>
      <c r="C385" t="s">
        <v>36</v>
      </c>
      <c r="D385" t="s">
        <v>37</v>
      </c>
      <c r="E385" t="s">
        <v>31</v>
      </c>
      <c r="F385">
        <v>42690.400000000001</v>
      </c>
      <c r="G385" t="s">
        <v>12</v>
      </c>
      <c r="H385">
        <v>15000</v>
      </c>
      <c r="I385">
        <f t="shared" si="5"/>
        <v>4269.04</v>
      </c>
    </row>
    <row r="386" spans="1:9" x14ac:dyDescent="0.3">
      <c r="A386" s="2">
        <v>45951</v>
      </c>
      <c r="B386" s="1" t="s">
        <v>35</v>
      </c>
      <c r="C386" t="s">
        <v>36</v>
      </c>
      <c r="D386" t="s">
        <v>37</v>
      </c>
      <c r="E386" t="s">
        <v>31</v>
      </c>
      <c r="F386">
        <v>43591.8</v>
      </c>
      <c r="G386" t="s">
        <v>9</v>
      </c>
      <c r="H386">
        <v>15000</v>
      </c>
      <c r="I386">
        <f t="shared" si="5"/>
        <v>4359.18</v>
      </c>
    </row>
    <row r="387" spans="1:9" x14ac:dyDescent="0.3">
      <c r="A387" s="2">
        <v>45951</v>
      </c>
      <c r="B387" s="1" t="s">
        <v>32</v>
      </c>
      <c r="C387" t="s">
        <v>33</v>
      </c>
      <c r="D387" t="s">
        <v>34</v>
      </c>
      <c r="E387" t="s">
        <v>31</v>
      </c>
      <c r="F387">
        <v>43974</v>
      </c>
      <c r="G387" t="s">
        <v>9</v>
      </c>
      <c r="H387">
        <v>15000</v>
      </c>
      <c r="I387">
        <f t="shared" ref="I387:I450" si="6">IF(F387&gt;=H387,0.1*F387,0)</f>
        <v>4397.4000000000005</v>
      </c>
    </row>
    <row r="388" spans="1:9" x14ac:dyDescent="0.3">
      <c r="A388" s="2">
        <v>45951</v>
      </c>
      <c r="B388" s="1" t="s">
        <v>71</v>
      </c>
      <c r="C388" t="s">
        <v>72</v>
      </c>
      <c r="D388" t="s">
        <v>73</v>
      </c>
      <c r="E388" t="s">
        <v>31</v>
      </c>
      <c r="F388">
        <v>47510.400000000001</v>
      </c>
      <c r="G388" t="s">
        <v>10</v>
      </c>
      <c r="H388">
        <v>15000</v>
      </c>
      <c r="I388">
        <f t="shared" si="6"/>
        <v>4751.04</v>
      </c>
    </row>
    <row r="389" spans="1:9" x14ac:dyDescent="0.3">
      <c r="A389" s="2">
        <v>45951</v>
      </c>
      <c r="B389" s="1" t="s">
        <v>71</v>
      </c>
      <c r="C389" t="s">
        <v>72</v>
      </c>
      <c r="D389" t="s">
        <v>73</v>
      </c>
      <c r="E389" t="s">
        <v>31</v>
      </c>
      <c r="F389">
        <v>49056</v>
      </c>
      <c r="G389" t="s">
        <v>9</v>
      </c>
      <c r="H389">
        <v>15000</v>
      </c>
      <c r="I389">
        <f t="shared" si="6"/>
        <v>4905.6000000000004</v>
      </c>
    </row>
    <row r="390" spans="1:9" x14ac:dyDescent="0.3">
      <c r="A390" s="2">
        <v>45951</v>
      </c>
      <c r="B390" s="1" t="s">
        <v>51</v>
      </c>
      <c r="C390" t="s">
        <v>52</v>
      </c>
      <c r="D390" t="s">
        <v>53</v>
      </c>
      <c r="E390" t="s">
        <v>44</v>
      </c>
      <c r="F390">
        <v>41989.599999999999</v>
      </c>
      <c r="G390" t="s">
        <v>9</v>
      </c>
      <c r="H390">
        <v>15000</v>
      </c>
      <c r="I390">
        <f t="shared" si="6"/>
        <v>4198.96</v>
      </c>
    </row>
    <row r="391" spans="1:9" x14ac:dyDescent="0.3">
      <c r="A391" s="2">
        <v>45951</v>
      </c>
      <c r="B391" s="1" t="s">
        <v>41</v>
      </c>
      <c r="C391" t="s">
        <v>42</v>
      </c>
      <c r="D391" t="s">
        <v>43</v>
      </c>
      <c r="E391" t="s">
        <v>44</v>
      </c>
      <c r="F391">
        <v>43593.599999999999</v>
      </c>
      <c r="G391" t="s">
        <v>10</v>
      </c>
      <c r="H391">
        <v>15000</v>
      </c>
      <c r="I391">
        <f t="shared" si="6"/>
        <v>4359.3599999999997</v>
      </c>
    </row>
    <row r="392" spans="1:9" x14ac:dyDescent="0.3">
      <c r="A392" s="2">
        <v>45951</v>
      </c>
      <c r="B392" s="1" t="s">
        <v>25</v>
      </c>
      <c r="C392" t="s">
        <v>26</v>
      </c>
      <c r="D392" t="s">
        <v>27</v>
      </c>
      <c r="E392" t="s">
        <v>18</v>
      </c>
      <c r="F392">
        <v>44422</v>
      </c>
      <c r="G392" t="s">
        <v>12</v>
      </c>
      <c r="H392">
        <v>15000</v>
      </c>
      <c r="I392">
        <f t="shared" si="6"/>
        <v>4442.2</v>
      </c>
    </row>
    <row r="393" spans="1:9" x14ac:dyDescent="0.3">
      <c r="A393" s="2">
        <v>45951</v>
      </c>
      <c r="B393" s="1" t="s">
        <v>15</v>
      </c>
      <c r="C393" t="s">
        <v>16</v>
      </c>
      <c r="D393" t="s">
        <v>17</v>
      </c>
      <c r="E393" t="s">
        <v>18</v>
      </c>
      <c r="F393">
        <v>45801</v>
      </c>
      <c r="G393" t="s">
        <v>10</v>
      </c>
      <c r="H393">
        <v>15000</v>
      </c>
      <c r="I393">
        <f t="shared" si="6"/>
        <v>4580.1000000000004</v>
      </c>
    </row>
    <row r="394" spans="1:9" x14ac:dyDescent="0.3">
      <c r="A394" s="2">
        <v>45951</v>
      </c>
      <c r="B394" s="1" t="s">
        <v>22</v>
      </c>
      <c r="C394" t="s">
        <v>23</v>
      </c>
      <c r="D394" t="s">
        <v>24</v>
      </c>
      <c r="E394" t="s">
        <v>18</v>
      </c>
      <c r="F394">
        <v>51531.199999999997</v>
      </c>
      <c r="G394" t="s">
        <v>12</v>
      </c>
      <c r="H394">
        <v>15000</v>
      </c>
      <c r="I394">
        <f t="shared" si="6"/>
        <v>5153.12</v>
      </c>
    </row>
    <row r="395" spans="1:9" x14ac:dyDescent="0.3">
      <c r="A395" s="2">
        <v>45951</v>
      </c>
      <c r="B395" s="1" t="s">
        <v>60</v>
      </c>
      <c r="C395" t="s">
        <v>14</v>
      </c>
      <c r="D395" t="s">
        <v>61</v>
      </c>
      <c r="E395" t="s">
        <v>8</v>
      </c>
      <c r="F395">
        <v>39653.9</v>
      </c>
      <c r="G395" t="s">
        <v>12</v>
      </c>
      <c r="H395">
        <v>15000</v>
      </c>
      <c r="I395">
        <f t="shared" si="6"/>
        <v>3965.3900000000003</v>
      </c>
    </row>
    <row r="396" spans="1:9" x14ac:dyDescent="0.3">
      <c r="A396" s="2">
        <v>45951</v>
      </c>
      <c r="B396" s="1" t="s">
        <v>57</v>
      </c>
      <c r="C396" t="s">
        <v>58</v>
      </c>
      <c r="D396" t="s">
        <v>59</v>
      </c>
      <c r="E396" t="s">
        <v>8</v>
      </c>
      <c r="F396">
        <v>41420.699999999997</v>
      </c>
      <c r="G396" t="s">
        <v>9</v>
      </c>
      <c r="H396">
        <v>15000</v>
      </c>
      <c r="I396">
        <f t="shared" si="6"/>
        <v>4142.07</v>
      </c>
    </row>
    <row r="397" spans="1:9" x14ac:dyDescent="0.3">
      <c r="A397" s="2">
        <v>45951</v>
      </c>
      <c r="B397" s="1" t="s">
        <v>62</v>
      </c>
      <c r="C397" t="s">
        <v>13</v>
      </c>
      <c r="D397" t="s">
        <v>63</v>
      </c>
      <c r="E397" t="s">
        <v>8</v>
      </c>
      <c r="F397">
        <v>41429.5</v>
      </c>
      <c r="G397" t="s">
        <v>10</v>
      </c>
      <c r="H397">
        <v>15000</v>
      </c>
      <c r="I397">
        <f t="shared" si="6"/>
        <v>4142.95</v>
      </c>
    </row>
    <row r="398" spans="1:9" x14ac:dyDescent="0.3">
      <c r="A398" s="2">
        <v>45951</v>
      </c>
      <c r="B398" s="1" t="s">
        <v>66</v>
      </c>
      <c r="C398" t="s">
        <v>7</v>
      </c>
      <c r="D398" t="s">
        <v>67</v>
      </c>
      <c r="E398" t="s">
        <v>8</v>
      </c>
      <c r="F398">
        <v>42249.1</v>
      </c>
      <c r="G398" t="s">
        <v>10</v>
      </c>
      <c r="H398">
        <v>15000</v>
      </c>
      <c r="I398">
        <f t="shared" si="6"/>
        <v>4224.91</v>
      </c>
    </row>
    <row r="399" spans="1:9" x14ac:dyDescent="0.3">
      <c r="A399" s="2">
        <v>45951</v>
      </c>
      <c r="B399" s="1" t="s">
        <v>57</v>
      </c>
      <c r="C399" t="s">
        <v>58</v>
      </c>
      <c r="D399" t="s">
        <v>59</v>
      </c>
      <c r="E399" t="s">
        <v>8</v>
      </c>
      <c r="F399">
        <v>43388.1</v>
      </c>
      <c r="G399" t="s">
        <v>10</v>
      </c>
      <c r="H399">
        <v>15000</v>
      </c>
      <c r="I399">
        <f t="shared" si="6"/>
        <v>4338.8100000000004</v>
      </c>
    </row>
    <row r="400" spans="1:9" x14ac:dyDescent="0.3">
      <c r="A400" s="2">
        <v>45951</v>
      </c>
      <c r="B400" s="1" t="s">
        <v>66</v>
      </c>
      <c r="C400" t="s">
        <v>7</v>
      </c>
      <c r="D400" t="s">
        <v>67</v>
      </c>
      <c r="E400" t="s">
        <v>8</v>
      </c>
      <c r="F400">
        <v>46716</v>
      </c>
      <c r="G400" t="s">
        <v>9</v>
      </c>
      <c r="H400">
        <v>15000</v>
      </c>
      <c r="I400">
        <f t="shared" si="6"/>
        <v>4671.6000000000004</v>
      </c>
    </row>
    <row r="401" spans="1:9" x14ac:dyDescent="0.3">
      <c r="A401" s="2">
        <v>45951</v>
      </c>
      <c r="B401" s="1" t="s">
        <v>57</v>
      </c>
      <c r="C401" t="s">
        <v>58</v>
      </c>
      <c r="D401" t="s">
        <v>59</v>
      </c>
      <c r="E401" t="s">
        <v>8</v>
      </c>
      <c r="F401">
        <v>1171.6500000000001</v>
      </c>
      <c r="G401" t="s">
        <v>9</v>
      </c>
      <c r="H401">
        <v>15000</v>
      </c>
      <c r="I401">
        <f t="shared" si="6"/>
        <v>0</v>
      </c>
    </row>
    <row r="402" spans="1:9" x14ac:dyDescent="0.3">
      <c r="A402" s="2">
        <v>45951</v>
      </c>
      <c r="B402" s="1" t="s">
        <v>64</v>
      </c>
      <c r="C402" t="s">
        <v>11</v>
      </c>
      <c r="D402" t="s">
        <v>65</v>
      </c>
      <c r="E402" t="s">
        <v>8</v>
      </c>
      <c r="F402">
        <v>1696.8</v>
      </c>
      <c r="G402" t="s">
        <v>12</v>
      </c>
      <c r="H402">
        <v>15000</v>
      </c>
      <c r="I402">
        <f t="shared" si="6"/>
        <v>0</v>
      </c>
    </row>
    <row r="403" spans="1:9" x14ac:dyDescent="0.3">
      <c r="A403" s="2">
        <v>45951</v>
      </c>
      <c r="B403" s="1" t="s">
        <v>64</v>
      </c>
      <c r="C403" t="s">
        <v>11</v>
      </c>
      <c r="D403" t="s">
        <v>65</v>
      </c>
      <c r="E403" t="s">
        <v>8</v>
      </c>
      <c r="F403">
        <v>569.64</v>
      </c>
      <c r="G403" t="s">
        <v>9</v>
      </c>
      <c r="H403">
        <v>15000</v>
      </c>
      <c r="I403">
        <f t="shared" si="6"/>
        <v>0</v>
      </c>
    </row>
    <row r="404" spans="1:9" x14ac:dyDescent="0.3">
      <c r="A404" s="2">
        <v>45951</v>
      </c>
      <c r="B404" s="1" t="s">
        <v>64</v>
      </c>
      <c r="C404" t="s">
        <v>11</v>
      </c>
      <c r="D404" t="s">
        <v>65</v>
      </c>
      <c r="E404" t="s">
        <v>8</v>
      </c>
      <c r="F404">
        <v>1818.84</v>
      </c>
      <c r="G404" t="s">
        <v>10</v>
      </c>
      <c r="H404">
        <v>15000</v>
      </c>
      <c r="I404">
        <f t="shared" si="6"/>
        <v>0</v>
      </c>
    </row>
    <row r="405" spans="1:9" x14ac:dyDescent="0.3">
      <c r="A405" s="2">
        <v>45951</v>
      </c>
      <c r="B405" s="1" t="s">
        <v>62</v>
      </c>
      <c r="C405" t="s">
        <v>13</v>
      </c>
      <c r="D405" t="s">
        <v>63</v>
      </c>
      <c r="E405" t="s">
        <v>8</v>
      </c>
      <c r="F405">
        <v>1799.35</v>
      </c>
      <c r="G405" t="s">
        <v>9</v>
      </c>
      <c r="H405">
        <v>15000</v>
      </c>
      <c r="I405">
        <f t="shared" si="6"/>
        <v>0</v>
      </c>
    </row>
    <row r="406" spans="1:9" x14ac:dyDescent="0.3">
      <c r="A406" s="2">
        <v>45951</v>
      </c>
      <c r="B406" s="1" t="s">
        <v>57</v>
      </c>
      <c r="C406" t="s">
        <v>58</v>
      </c>
      <c r="D406" t="s">
        <v>59</v>
      </c>
      <c r="E406" t="s">
        <v>8</v>
      </c>
      <c r="F406">
        <v>1649.94</v>
      </c>
      <c r="G406" t="s">
        <v>10</v>
      </c>
      <c r="H406">
        <v>15000</v>
      </c>
      <c r="I406">
        <f t="shared" si="6"/>
        <v>0</v>
      </c>
    </row>
    <row r="407" spans="1:9" x14ac:dyDescent="0.3">
      <c r="A407" s="2">
        <v>45951</v>
      </c>
      <c r="B407" s="1" t="s">
        <v>66</v>
      </c>
      <c r="C407" t="s">
        <v>74</v>
      </c>
      <c r="D407" t="s">
        <v>67</v>
      </c>
      <c r="E407" t="s">
        <v>8</v>
      </c>
      <c r="F407">
        <v>1441.6</v>
      </c>
      <c r="G407" t="s">
        <v>12</v>
      </c>
      <c r="H407">
        <v>15000</v>
      </c>
      <c r="I407">
        <f t="shared" si="6"/>
        <v>0</v>
      </c>
    </row>
    <row r="408" spans="1:9" x14ac:dyDescent="0.3">
      <c r="A408" s="2">
        <v>45951</v>
      </c>
      <c r="B408" s="1" t="s">
        <v>62</v>
      </c>
      <c r="C408" t="s">
        <v>13</v>
      </c>
      <c r="D408" t="s">
        <v>63</v>
      </c>
      <c r="E408" t="s">
        <v>8</v>
      </c>
      <c r="F408">
        <v>376.05</v>
      </c>
      <c r="G408" t="s">
        <v>9</v>
      </c>
      <c r="H408">
        <v>15000</v>
      </c>
      <c r="I408">
        <f t="shared" si="6"/>
        <v>0</v>
      </c>
    </row>
    <row r="409" spans="1:9" x14ac:dyDescent="0.3">
      <c r="A409" s="2">
        <v>45951</v>
      </c>
      <c r="B409" s="1" t="s">
        <v>64</v>
      </c>
      <c r="C409" t="s">
        <v>11</v>
      </c>
      <c r="D409" t="s">
        <v>65</v>
      </c>
      <c r="E409" t="s">
        <v>8</v>
      </c>
      <c r="F409">
        <v>3608.81</v>
      </c>
      <c r="G409" t="s">
        <v>12</v>
      </c>
      <c r="H409">
        <v>15000</v>
      </c>
      <c r="I409">
        <f t="shared" si="6"/>
        <v>0</v>
      </c>
    </row>
    <row r="410" spans="1:9" x14ac:dyDescent="0.3">
      <c r="A410" s="2">
        <v>45951</v>
      </c>
      <c r="B410" s="1" t="s">
        <v>62</v>
      </c>
      <c r="C410" t="s">
        <v>13</v>
      </c>
      <c r="D410" t="s">
        <v>63</v>
      </c>
      <c r="E410" t="s">
        <v>8</v>
      </c>
      <c r="F410">
        <v>969.76</v>
      </c>
      <c r="G410" t="s">
        <v>10</v>
      </c>
      <c r="H410">
        <v>15000</v>
      </c>
      <c r="I410">
        <f t="shared" si="6"/>
        <v>0</v>
      </c>
    </row>
    <row r="411" spans="1:9" x14ac:dyDescent="0.3">
      <c r="A411" s="2">
        <v>45951</v>
      </c>
      <c r="B411" s="1" t="s">
        <v>64</v>
      </c>
      <c r="C411" t="s">
        <v>11</v>
      </c>
      <c r="D411" t="s">
        <v>65</v>
      </c>
      <c r="E411" t="s">
        <v>8</v>
      </c>
      <c r="F411">
        <v>2247.79</v>
      </c>
      <c r="G411" t="s">
        <v>10</v>
      </c>
      <c r="H411">
        <v>15000</v>
      </c>
      <c r="I411">
        <f t="shared" si="6"/>
        <v>0</v>
      </c>
    </row>
    <row r="412" spans="1:9" x14ac:dyDescent="0.3">
      <c r="A412" s="2">
        <v>45951</v>
      </c>
      <c r="B412" s="1" t="s">
        <v>62</v>
      </c>
      <c r="C412" t="s">
        <v>13</v>
      </c>
      <c r="D412" t="s">
        <v>63</v>
      </c>
      <c r="E412" t="s">
        <v>8</v>
      </c>
      <c r="F412">
        <v>432.28</v>
      </c>
      <c r="G412" t="s">
        <v>12</v>
      </c>
      <c r="H412">
        <v>15000</v>
      </c>
      <c r="I412">
        <f t="shared" si="6"/>
        <v>0</v>
      </c>
    </row>
    <row r="413" spans="1:9" x14ac:dyDescent="0.3">
      <c r="A413" s="2">
        <v>45951</v>
      </c>
      <c r="B413" s="1" t="s">
        <v>57</v>
      </c>
      <c r="C413" t="s">
        <v>58</v>
      </c>
      <c r="D413" t="s">
        <v>59</v>
      </c>
      <c r="E413" t="s">
        <v>8</v>
      </c>
      <c r="F413">
        <v>4338.8100000000004</v>
      </c>
      <c r="G413" t="s">
        <v>10</v>
      </c>
      <c r="H413">
        <v>15000</v>
      </c>
      <c r="I413">
        <f t="shared" si="6"/>
        <v>0</v>
      </c>
    </row>
    <row r="414" spans="1:9" x14ac:dyDescent="0.3">
      <c r="A414" s="2">
        <v>45951</v>
      </c>
      <c r="B414" s="1" t="s">
        <v>66</v>
      </c>
      <c r="C414" t="s">
        <v>74</v>
      </c>
      <c r="D414" t="s">
        <v>67</v>
      </c>
      <c r="E414" t="s">
        <v>8</v>
      </c>
      <c r="F414">
        <v>1567.02</v>
      </c>
      <c r="G414" t="s">
        <v>12</v>
      </c>
      <c r="H414">
        <v>15000</v>
      </c>
      <c r="I414">
        <f t="shared" si="6"/>
        <v>0</v>
      </c>
    </row>
    <row r="415" spans="1:9" x14ac:dyDescent="0.3">
      <c r="A415" s="2">
        <v>45955</v>
      </c>
      <c r="B415" s="1" t="s">
        <v>62</v>
      </c>
      <c r="C415" t="s">
        <v>13</v>
      </c>
      <c r="D415" t="s">
        <v>63</v>
      </c>
      <c r="E415" t="s">
        <v>8</v>
      </c>
      <c r="F415">
        <v>1039.17</v>
      </c>
      <c r="G415" t="s">
        <v>12</v>
      </c>
      <c r="H415">
        <v>15000</v>
      </c>
      <c r="I415">
        <f t="shared" si="6"/>
        <v>0</v>
      </c>
    </row>
    <row r="416" spans="1:9" x14ac:dyDescent="0.3">
      <c r="A416" s="2">
        <v>45955</v>
      </c>
      <c r="B416" s="1" t="s">
        <v>66</v>
      </c>
      <c r="C416" t="s">
        <v>74</v>
      </c>
      <c r="D416" t="s">
        <v>67</v>
      </c>
      <c r="E416" t="s">
        <v>8</v>
      </c>
      <c r="F416">
        <v>700.92</v>
      </c>
      <c r="G416" t="s">
        <v>10</v>
      </c>
      <c r="H416">
        <v>15000</v>
      </c>
      <c r="I416">
        <f t="shared" si="6"/>
        <v>0</v>
      </c>
    </row>
    <row r="417" spans="1:9" x14ac:dyDescent="0.3">
      <c r="A417" s="2">
        <v>45955</v>
      </c>
      <c r="B417" s="1" t="s">
        <v>57</v>
      </c>
      <c r="C417" t="s">
        <v>58</v>
      </c>
      <c r="D417" t="s">
        <v>59</v>
      </c>
      <c r="E417" t="s">
        <v>8</v>
      </c>
      <c r="F417">
        <v>891.45</v>
      </c>
      <c r="G417" t="s">
        <v>9</v>
      </c>
      <c r="H417">
        <v>15000</v>
      </c>
      <c r="I417">
        <f t="shared" si="6"/>
        <v>0</v>
      </c>
    </row>
    <row r="418" spans="1:9" x14ac:dyDescent="0.3">
      <c r="A418" s="2">
        <v>45955</v>
      </c>
      <c r="B418" s="1" t="s">
        <v>64</v>
      </c>
      <c r="C418" t="s">
        <v>11</v>
      </c>
      <c r="D418" t="s">
        <v>65</v>
      </c>
      <c r="E418" t="s">
        <v>8</v>
      </c>
      <c r="F418">
        <v>708.89</v>
      </c>
      <c r="G418" t="s">
        <v>9</v>
      </c>
      <c r="H418">
        <v>15000</v>
      </c>
      <c r="I418">
        <f t="shared" si="6"/>
        <v>0</v>
      </c>
    </row>
    <row r="419" spans="1:9" x14ac:dyDescent="0.3">
      <c r="A419" s="2">
        <v>45955</v>
      </c>
      <c r="B419" s="1" t="s">
        <v>66</v>
      </c>
      <c r="C419" t="s">
        <v>74</v>
      </c>
      <c r="D419" t="s">
        <v>67</v>
      </c>
      <c r="E419" t="s">
        <v>8</v>
      </c>
      <c r="F419">
        <v>809.55</v>
      </c>
      <c r="G419" t="s">
        <v>9</v>
      </c>
      <c r="H419">
        <v>15000</v>
      </c>
      <c r="I419">
        <f t="shared" si="6"/>
        <v>0</v>
      </c>
    </row>
    <row r="420" spans="1:9" x14ac:dyDescent="0.3">
      <c r="A420" s="2">
        <v>45955</v>
      </c>
      <c r="B420" s="1" t="s">
        <v>57</v>
      </c>
      <c r="C420" t="s">
        <v>58</v>
      </c>
      <c r="D420" t="s">
        <v>59</v>
      </c>
      <c r="E420" t="s">
        <v>8</v>
      </c>
      <c r="F420">
        <v>734.32</v>
      </c>
      <c r="G420" t="s">
        <v>10</v>
      </c>
      <c r="H420">
        <v>15000</v>
      </c>
      <c r="I420">
        <f t="shared" si="6"/>
        <v>0</v>
      </c>
    </row>
    <row r="421" spans="1:9" x14ac:dyDescent="0.3">
      <c r="A421" s="2">
        <v>45955</v>
      </c>
      <c r="B421" s="1" t="s">
        <v>57</v>
      </c>
      <c r="C421" t="s">
        <v>58</v>
      </c>
      <c r="D421" t="s">
        <v>59</v>
      </c>
      <c r="E421" t="s">
        <v>8</v>
      </c>
      <c r="F421">
        <v>2839.55</v>
      </c>
      <c r="G421" t="s">
        <v>12</v>
      </c>
      <c r="H421">
        <v>15000</v>
      </c>
      <c r="I421">
        <f t="shared" si="6"/>
        <v>0</v>
      </c>
    </row>
    <row r="422" spans="1:9" x14ac:dyDescent="0.3">
      <c r="A422" s="2">
        <v>45955</v>
      </c>
      <c r="B422" s="1" t="s">
        <v>57</v>
      </c>
      <c r="C422" t="s">
        <v>58</v>
      </c>
      <c r="D422" t="s">
        <v>59</v>
      </c>
      <c r="E422" t="s">
        <v>8</v>
      </c>
      <c r="F422">
        <v>453.1</v>
      </c>
      <c r="G422" t="s">
        <v>12</v>
      </c>
      <c r="H422">
        <v>15000</v>
      </c>
      <c r="I422">
        <f t="shared" si="6"/>
        <v>0</v>
      </c>
    </row>
    <row r="423" spans="1:9" x14ac:dyDescent="0.3">
      <c r="A423" s="2">
        <v>45982</v>
      </c>
      <c r="B423" s="1" t="s">
        <v>60</v>
      </c>
      <c r="C423" t="s">
        <v>14</v>
      </c>
      <c r="D423" t="s">
        <v>61</v>
      </c>
      <c r="E423" t="s">
        <v>8</v>
      </c>
      <c r="F423">
        <v>1774.8</v>
      </c>
      <c r="G423" t="s">
        <v>9</v>
      </c>
      <c r="H423">
        <v>15000</v>
      </c>
      <c r="I423">
        <f t="shared" si="6"/>
        <v>0</v>
      </c>
    </row>
    <row r="424" spans="1:9" x14ac:dyDescent="0.3">
      <c r="A424" s="2">
        <v>45982</v>
      </c>
      <c r="B424" s="1" t="s">
        <v>57</v>
      </c>
      <c r="C424" t="s">
        <v>58</v>
      </c>
      <c r="D424" t="s">
        <v>59</v>
      </c>
      <c r="E424" t="s">
        <v>8</v>
      </c>
      <c r="F424">
        <v>735.66</v>
      </c>
      <c r="G424" t="s">
        <v>9</v>
      </c>
      <c r="H424">
        <v>15000</v>
      </c>
      <c r="I424">
        <f t="shared" si="6"/>
        <v>0</v>
      </c>
    </row>
    <row r="425" spans="1:9" x14ac:dyDescent="0.3">
      <c r="A425" s="2">
        <v>45982</v>
      </c>
      <c r="B425" s="1" t="s">
        <v>60</v>
      </c>
      <c r="C425" t="s">
        <v>14</v>
      </c>
      <c r="D425" t="s">
        <v>61</v>
      </c>
      <c r="E425" t="s">
        <v>8</v>
      </c>
      <c r="F425">
        <v>675.18</v>
      </c>
      <c r="G425" t="s">
        <v>10</v>
      </c>
      <c r="H425">
        <v>15000</v>
      </c>
      <c r="I425">
        <f t="shared" si="6"/>
        <v>0</v>
      </c>
    </row>
    <row r="426" spans="1:9" x14ac:dyDescent="0.3">
      <c r="A426" s="2">
        <v>45982</v>
      </c>
      <c r="B426" s="1" t="s">
        <v>62</v>
      </c>
      <c r="C426" t="s">
        <v>13</v>
      </c>
      <c r="D426" t="s">
        <v>63</v>
      </c>
      <c r="E426" t="s">
        <v>8</v>
      </c>
      <c r="F426">
        <v>4142.95</v>
      </c>
      <c r="G426" t="s">
        <v>10</v>
      </c>
      <c r="H426">
        <v>15000</v>
      </c>
      <c r="I426">
        <f t="shared" si="6"/>
        <v>0</v>
      </c>
    </row>
    <row r="427" spans="1:9" x14ac:dyDescent="0.3">
      <c r="A427" s="2">
        <v>45982</v>
      </c>
      <c r="B427" s="1" t="s">
        <v>66</v>
      </c>
      <c r="C427" t="s">
        <v>74</v>
      </c>
      <c r="D427" t="s">
        <v>67</v>
      </c>
      <c r="E427" t="s">
        <v>8</v>
      </c>
      <c r="F427">
        <v>3637.21</v>
      </c>
      <c r="G427" t="s">
        <v>9</v>
      </c>
      <c r="H427">
        <v>15000</v>
      </c>
      <c r="I427">
        <f t="shared" si="6"/>
        <v>0</v>
      </c>
    </row>
    <row r="428" spans="1:9" x14ac:dyDescent="0.3">
      <c r="A428" s="2">
        <v>45982</v>
      </c>
      <c r="B428" s="1" t="s">
        <v>62</v>
      </c>
      <c r="C428" t="s">
        <v>13</v>
      </c>
      <c r="D428" t="s">
        <v>63</v>
      </c>
      <c r="E428" t="s">
        <v>8</v>
      </c>
      <c r="F428">
        <v>3918.6</v>
      </c>
      <c r="G428" t="s">
        <v>10</v>
      </c>
      <c r="H428">
        <v>15000</v>
      </c>
      <c r="I428">
        <f t="shared" si="6"/>
        <v>0</v>
      </c>
    </row>
    <row r="429" spans="1:9" x14ac:dyDescent="0.3">
      <c r="A429" s="2">
        <v>45982</v>
      </c>
      <c r="B429" s="1" t="s">
        <v>57</v>
      </c>
      <c r="C429" t="s">
        <v>58</v>
      </c>
      <c r="D429" t="s">
        <v>59</v>
      </c>
      <c r="E429" t="s">
        <v>8</v>
      </c>
      <c r="F429">
        <v>694.54</v>
      </c>
      <c r="G429" t="s">
        <v>12</v>
      </c>
      <c r="H429">
        <v>15000</v>
      </c>
      <c r="I429">
        <f t="shared" si="6"/>
        <v>0</v>
      </c>
    </row>
    <row r="430" spans="1:9" x14ac:dyDescent="0.3">
      <c r="A430" s="2">
        <v>45982</v>
      </c>
      <c r="B430" s="1" t="s">
        <v>7</v>
      </c>
      <c r="C430" t="s">
        <v>74</v>
      </c>
      <c r="D430" t="s">
        <v>75</v>
      </c>
      <c r="E430" t="s">
        <v>8</v>
      </c>
      <c r="F430">
        <v>3112.72</v>
      </c>
      <c r="G430" t="s">
        <v>12</v>
      </c>
      <c r="H430">
        <v>15000</v>
      </c>
      <c r="I430">
        <f t="shared" si="6"/>
        <v>0</v>
      </c>
    </row>
    <row r="431" spans="1:9" x14ac:dyDescent="0.3">
      <c r="A431" s="2">
        <v>45982</v>
      </c>
      <c r="B431" s="1" t="s">
        <v>57</v>
      </c>
      <c r="C431" t="s">
        <v>58</v>
      </c>
      <c r="D431" t="s">
        <v>59</v>
      </c>
      <c r="E431" t="s">
        <v>8</v>
      </c>
      <c r="F431">
        <v>1001.92</v>
      </c>
      <c r="G431" t="s">
        <v>12</v>
      </c>
      <c r="H431">
        <v>15000</v>
      </c>
      <c r="I431">
        <f t="shared" si="6"/>
        <v>0</v>
      </c>
    </row>
    <row r="432" spans="1:9" x14ac:dyDescent="0.3">
      <c r="A432" s="2">
        <v>45982</v>
      </c>
      <c r="B432" s="1" t="s">
        <v>64</v>
      </c>
      <c r="C432" t="s">
        <v>11</v>
      </c>
      <c r="D432" t="s">
        <v>65</v>
      </c>
      <c r="E432" t="s">
        <v>8</v>
      </c>
      <c r="F432">
        <v>1638.56</v>
      </c>
      <c r="G432" t="s">
        <v>9</v>
      </c>
      <c r="H432">
        <v>15000</v>
      </c>
      <c r="I432">
        <f t="shared" si="6"/>
        <v>0</v>
      </c>
    </row>
    <row r="433" spans="1:9" x14ac:dyDescent="0.3">
      <c r="A433" s="2">
        <v>45982</v>
      </c>
      <c r="B433" s="1" t="s">
        <v>62</v>
      </c>
      <c r="C433" t="s">
        <v>13</v>
      </c>
      <c r="D433" t="s">
        <v>63</v>
      </c>
      <c r="E433" t="s">
        <v>8</v>
      </c>
      <c r="F433">
        <v>1910.8</v>
      </c>
      <c r="G433" t="s">
        <v>10</v>
      </c>
      <c r="H433">
        <v>15000</v>
      </c>
      <c r="I433">
        <f t="shared" si="6"/>
        <v>0</v>
      </c>
    </row>
    <row r="434" spans="1:9" x14ac:dyDescent="0.3">
      <c r="A434" s="2">
        <v>45982</v>
      </c>
      <c r="B434" s="1" t="s">
        <v>57</v>
      </c>
      <c r="C434" t="s">
        <v>58</v>
      </c>
      <c r="D434" t="s">
        <v>59</v>
      </c>
      <c r="E434" t="s">
        <v>8</v>
      </c>
      <c r="F434">
        <v>765.82</v>
      </c>
      <c r="G434" t="s">
        <v>12</v>
      </c>
      <c r="H434">
        <v>15000</v>
      </c>
      <c r="I434">
        <f t="shared" si="6"/>
        <v>0</v>
      </c>
    </row>
    <row r="435" spans="1:9" x14ac:dyDescent="0.3">
      <c r="A435" s="2">
        <v>45982</v>
      </c>
      <c r="B435" s="1" t="s">
        <v>62</v>
      </c>
      <c r="C435" t="s">
        <v>13</v>
      </c>
      <c r="D435" t="s">
        <v>63</v>
      </c>
      <c r="E435" t="s">
        <v>8</v>
      </c>
      <c r="F435">
        <v>765.86</v>
      </c>
      <c r="G435" t="s">
        <v>10</v>
      </c>
      <c r="H435">
        <v>15000</v>
      </c>
      <c r="I435">
        <f t="shared" si="6"/>
        <v>0</v>
      </c>
    </row>
    <row r="436" spans="1:9" x14ac:dyDescent="0.3">
      <c r="A436" s="2">
        <v>45982</v>
      </c>
      <c r="B436" s="1" t="s">
        <v>7</v>
      </c>
      <c r="C436" t="s">
        <v>74</v>
      </c>
      <c r="D436" t="s">
        <v>75</v>
      </c>
      <c r="E436" t="s">
        <v>8</v>
      </c>
      <c r="F436">
        <v>4671.6000000000004</v>
      </c>
      <c r="G436" t="s">
        <v>9</v>
      </c>
      <c r="H436">
        <v>15000</v>
      </c>
      <c r="I436">
        <f t="shared" si="6"/>
        <v>0</v>
      </c>
    </row>
    <row r="437" spans="1:9" x14ac:dyDescent="0.3">
      <c r="A437" s="2">
        <v>45982</v>
      </c>
      <c r="B437" s="1" t="s">
        <v>57</v>
      </c>
      <c r="C437" t="s">
        <v>58</v>
      </c>
      <c r="D437" t="s">
        <v>59</v>
      </c>
      <c r="E437" t="s">
        <v>8</v>
      </c>
      <c r="F437">
        <v>1945.6</v>
      </c>
      <c r="G437" t="s">
        <v>9</v>
      </c>
      <c r="H437">
        <v>15000</v>
      </c>
      <c r="I437">
        <f t="shared" si="6"/>
        <v>0</v>
      </c>
    </row>
    <row r="438" spans="1:9" x14ac:dyDescent="0.3">
      <c r="A438" s="2">
        <v>45982</v>
      </c>
      <c r="B438" s="1" t="s">
        <v>62</v>
      </c>
      <c r="C438" t="s">
        <v>13</v>
      </c>
      <c r="D438" t="s">
        <v>63</v>
      </c>
      <c r="E438" t="s">
        <v>8</v>
      </c>
      <c r="F438">
        <v>1017.6</v>
      </c>
      <c r="G438" t="s">
        <v>10</v>
      </c>
      <c r="H438">
        <v>15000</v>
      </c>
      <c r="I438">
        <f t="shared" si="6"/>
        <v>0</v>
      </c>
    </row>
    <row r="439" spans="1:9" x14ac:dyDescent="0.3">
      <c r="A439" s="2">
        <v>45982</v>
      </c>
      <c r="B439" s="1" t="s">
        <v>64</v>
      </c>
      <c r="C439" t="s">
        <v>11</v>
      </c>
      <c r="D439" t="s">
        <v>65</v>
      </c>
      <c r="E439" t="s">
        <v>8</v>
      </c>
      <c r="F439">
        <v>909.86</v>
      </c>
      <c r="G439" t="s">
        <v>12</v>
      </c>
      <c r="H439">
        <v>15000</v>
      </c>
      <c r="I439">
        <f t="shared" si="6"/>
        <v>0</v>
      </c>
    </row>
    <row r="440" spans="1:9" x14ac:dyDescent="0.3">
      <c r="A440" s="2">
        <v>45982</v>
      </c>
      <c r="B440" s="1" t="s">
        <v>64</v>
      </c>
      <c r="C440" t="s">
        <v>11</v>
      </c>
      <c r="D440" t="s">
        <v>65</v>
      </c>
      <c r="E440" t="s">
        <v>8</v>
      </c>
      <c r="F440">
        <v>533.28</v>
      </c>
      <c r="G440" t="s">
        <v>10</v>
      </c>
      <c r="H440">
        <v>15000</v>
      </c>
      <c r="I440">
        <f t="shared" si="6"/>
        <v>0</v>
      </c>
    </row>
    <row r="441" spans="1:9" x14ac:dyDescent="0.3">
      <c r="A441" s="2">
        <v>45982</v>
      </c>
      <c r="B441" s="1" t="s">
        <v>60</v>
      </c>
      <c r="C441" t="s">
        <v>14</v>
      </c>
      <c r="D441" t="s">
        <v>61</v>
      </c>
      <c r="E441" t="s">
        <v>8</v>
      </c>
      <c r="F441">
        <v>346.5</v>
      </c>
      <c r="G441" t="s">
        <v>10</v>
      </c>
      <c r="H441">
        <v>15000</v>
      </c>
      <c r="I441">
        <f t="shared" si="6"/>
        <v>0</v>
      </c>
    </row>
    <row r="442" spans="1:9" x14ac:dyDescent="0.3">
      <c r="A442" s="2">
        <v>45982</v>
      </c>
      <c r="B442" s="1" t="s">
        <v>62</v>
      </c>
      <c r="C442" t="s">
        <v>13</v>
      </c>
      <c r="D442" t="s">
        <v>63</v>
      </c>
      <c r="E442" t="s">
        <v>8</v>
      </c>
      <c r="F442">
        <v>806.56</v>
      </c>
      <c r="G442" t="s">
        <v>12</v>
      </c>
      <c r="H442">
        <v>15000</v>
      </c>
      <c r="I442">
        <f t="shared" si="6"/>
        <v>0</v>
      </c>
    </row>
    <row r="443" spans="1:9" x14ac:dyDescent="0.3">
      <c r="A443" s="2">
        <v>45982</v>
      </c>
      <c r="B443" s="1" t="s">
        <v>62</v>
      </c>
      <c r="C443" t="s">
        <v>13</v>
      </c>
      <c r="D443" t="s">
        <v>63</v>
      </c>
      <c r="E443" t="s">
        <v>8</v>
      </c>
      <c r="F443">
        <v>1154.3</v>
      </c>
      <c r="G443" t="s">
        <v>9</v>
      </c>
      <c r="H443">
        <v>15000</v>
      </c>
      <c r="I443">
        <f t="shared" si="6"/>
        <v>0</v>
      </c>
    </row>
    <row r="444" spans="1:9" x14ac:dyDescent="0.3">
      <c r="A444" s="2">
        <v>45982</v>
      </c>
      <c r="B444" s="1" t="s">
        <v>7</v>
      </c>
      <c r="C444" t="s">
        <v>74</v>
      </c>
      <c r="D444" t="s">
        <v>75</v>
      </c>
      <c r="E444" t="s">
        <v>8</v>
      </c>
      <c r="F444">
        <v>1115.55</v>
      </c>
      <c r="G444" t="s">
        <v>9</v>
      </c>
      <c r="H444">
        <v>15000</v>
      </c>
      <c r="I444">
        <f t="shared" si="6"/>
        <v>0</v>
      </c>
    </row>
    <row r="445" spans="1:9" x14ac:dyDescent="0.3">
      <c r="A445" s="2">
        <v>45982</v>
      </c>
      <c r="B445" s="1" t="s">
        <v>62</v>
      </c>
      <c r="C445" t="s">
        <v>13</v>
      </c>
      <c r="D445" t="s">
        <v>63</v>
      </c>
      <c r="E445" t="s">
        <v>8</v>
      </c>
      <c r="F445">
        <v>1064.9000000000001</v>
      </c>
      <c r="G445" t="s">
        <v>12</v>
      </c>
      <c r="H445">
        <v>15000</v>
      </c>
      <c r="I445">
        <f t="shared" si="6"/>
        <v>0</v>
      </c>
    </row>
    <row r="446" spans="1:9" x14ac:dyDescent="0.3">
      <c r="A446" s="2">
        <v>45982</v>
      </c>
      <c r="B446" s="1" t="s">
        <v>62</v>
      </c>
      <c r="C446" t="s">
        <v>13</v>
      </c>
      <c r="D446" t="s">
        <v>63</v>
      </c>
      <c r="E446" t="s">
        <v>8</v>
      </c>
      <c r="F446">
        <v>2439.5100000000002</v>
      </c>
      <c r="G446" t="s">
        <v>9</v>
      </c>
      <c r="H446">
        <v>15000</v>
      </c>
      <c r="I446">
        <f t="shared" si="6"/>
        <v>0</v>
      </c>
    </row>
    <row r="447" spans="1:9" x14ac:dyDescent="0.3">
      <c r="A447" s="2">
        <v>45982</v>
      </c>
      <c r="B447" s="1" t="s">
        <v>62</v>
      </c>
      <c r="C447" t="s">
        <v>13</v>
      </c>
      <c r="D447" t="s">
        <v>63</v>
      </c>
      <c r="E447" t="s">
        <v>8</v>
      </c>
      <c r="F447">
        <v>1563.32</v>
      </c>
      <c r="G447" t="s">
        <v>10</v>
      </c>
      <c r="H447">
        <v>15000</v>
      </c>
      <c r="I447">
        <f t="shared" si="6"/>
        <v>0</v>
      </c>
    </row>
    <row r="448" spans="1:9" x14ac:dyDescent="0.3">
      <c r="A448" s="2">
        <v>45982</v>
      </c>
      <c r="B448" s="1" t="s">
        <v>64</v>
      </c>
      <c r="C448" t="s">
        <v>11</v>
      </c>
      <c r="D448" t="s">
        <v>65</v>
      </c>
      <c r="E448" t="s">
        <v>8</v>
      </c>
      <c r="F448">
        <v>1067.94</v>
      </c>
      <c r="G448" t="s">
        <v>12</v>
      </c>
      <c r="H448">
        <v>15000</v>
      </c>
      <c r="I448">
        <f t="shared" si="6"/>
        <v>0</v>
      </c>
    </row>
    <row r="449" spans="1:9" x14ac:dyDescent="0.3">
      <c r="A449" s="2">
        <v>45982</v>
      </c>
      <c r="B449" s="1" t="s">
        <v>62</v>
      </c>
      <c r="C449" t="s">
        <v>13</v>
      </c>
      <c r="D449" t="s">
        <v>63</v>
      </c>
      <c r="E449" t="s">
        <v>8</v>
      </c>
      <c r="F449">
        <v>2086.84</v>
      </c>
      <c r="G449" t="s">
        <v>10</v>
      </c>
      <c r="H449">
        <v>15000</v>
      </c>
      <c r="I449">
        <f t="shared" si="6"/>
        <v>0</v>
      </c>
    </row>
    <row r="450" spans="1:9" x14ac:dyDescent="0.3">
      <c r="A450" s="2">
        <v>45982</v>
      </c>
      <c r="B450" s="1" t="s">
        <v>62</v>
      </c>
      <c r="C450" t="s">
        <v>13</v>
      </c>
      <c r="D450" t="s">
        <v>63</v>
      </c>
      <c r="E450" t="s">
        <v>8</v>
      </c>
      <c r="F450">
        <v>1006.72</v>
      </c>
      <c r="G450" t="s">
        <v>12</v>
      </c>
      <c r="H450">
        <v>15000</v>
      </c>
      <c r="I450">
        <f t="shared" si="6"/>
        <v>0</v>
      </c>
    </row>
    <row r="451" spans="1:9" x14ac:dyDescent="0.3">
      <c r="A451" s="2">
        <v>45982</v>
      </c>
      <c r="B451" s="1" t="s">
        <v>62</v>
      </c>
      <c r="C451" t="s">
        <v>13</v>
      </c>
      <c r="D451" t="s">
        <v>63</v>
      </c>
      <c r="E451" t="s">
        <v>8</v>
      </c>
      <c r="F451">
        <v>957.48</v>
      </c>
      <c r="G451" t="s">
        <v>10</v>
      </c>
      <c r="H451">
        <v>15000</v>
      </c>
      <c r="I451">
        <f t="shared" ref="I451:I489" si="7">IF(F451&gt;=H451,0.1*F451,0)</f>
        <v>0</v>
      </c>
    </row>
    <row r="452" spans="1:9" x14ac:dyDescent="0.3">
      <c r="A452" s="2">
        <v>45982</v>
      </c>
      <c r="B452" s="1" t="s">
        <v>60</v>
      </c>
      <c r="C452" t="s">
        <v>14</v>
      </c>
      <c r="D452" t="s">
        <v>61</v>
      </c>
      <c r="E452" t="s">
        <v>8</v>
      </c>
      <c r="F452">
        <v>1506.12</v>
      </c>
      <c r="G452" t="s">
        <v>10</v>
      </c>
      <c r="H452">
        <v>15000</v>
      </c>
      <c r="I452">
        <f t="shared" si="7"/>
        <v>0</v>
      </c>
    </row>
    <row r="453" spans="1:9" x14ac:dyDescent="0.3">
      <c r="A453" s="2">
        <v>45982</v>
      </c>
      <c r="B453" s="1" t="s">
        <v>60</v>
      </c>
      <c r="C453" t="s">
        <v>14</v>
      </c>
      <c r="D453" t="s">
        <v>61</v>
      </c>
      <c r="E453" t="s">
        <v>8</v>
      </c>
      <c r="F453">
        <v>3965.39</v>
      </c>
      <c r="G453" t="s">
        <v>12</v>
      </c>
      <c r="H453">
        <v>15000</v>
      </c>
      <c r="I453">
        <f t="shared" si="7"/>
        <v>0</v>
      </c>
    </row>
    <row r="454" spans="1:9" x14ac:dyDescent="0.3">
      <c r="A454" s="2">
        <v>45982</v>
      </c>
      <c r="B454" s="1" t="s">
        <v>7</v>
      </c>
      <c r="C454" t="s">
        <v>74</v>
      </c>
      <c r="D454" t="s">
        <v>75</v>
      </c>
      <c r="E454" t="s">
        <v>8</v>
      </c>
      <c r="F454">
        <v>3719.25</v>
      </c>
      <c r="G454" t="s">
        <v>12</v>
      </c>
      <c r="H454">
        <v>15000</v>
      </c>
      <c r="I454">
        <f t="shared" si="7"/>
        <v>0</v>
      </c>
    </row>
    <row r="455" spans="1:9" x14ac:dyDescent="0.3">
      <c r="A455" s="2">
        <v>45986</v>
      </c>
      <c r="B455" s="1" t="s">
        <v>62</v>
      </c>
      <c r="C455" t="s">
        <v>13</v>
      </c>
      <c r="D455" t="s">
        <v>63</v>
      </c>
      <c r="E455" t="s">
        <v>8</v>
      </c>
      <c r="F455">
        <v>1430.16</v>
      </c>
      <c r="G455" t="s">
        <v>10</v>
      </c>
      <c r="H455">
        <v>15000</v>
      </c>
      <c r="I455">
        <f t="shared" si="7"/>
        <v>0</v>
      </c>
    </row>
    <row r="456" spans="1:9" x14ac:dyDescent="0.3">
      <c r="A456" s="2">
        <v>45986</v>
      </c>
      <c r="B456" s="1" t="s">
        <v>64</v>
      </c>
      <c r="C456" t="s">
        <v>11</v>
      </c>
      <c r="D456" t="s">
        <v>65</v>
      </c>
      <c r="E456" t="s">
        <v>8</v>
      </c>
      <c r="F456">
        <v>1726.2</v>
      </c>
      <c r="G456" t="s">
        <v>10</v>
      </c>
      <c r="H456">
        <v>15000</v>
      </c>
      <c r="I456">
        <f t="shared" si="7"/>
        <v>0</v>
      </c>
    </row>
    <row r="457" spans="1:9" x14ac:dyDescent="0.3">
      <c r="A457" s="2">
        <v>45986</v>
      </c>
      <c r="B457" s="1" t="s">
        <v>57</v>
      </c>
      <c r="C457" t="s">
        <v>58</v>
      </c>
      <c r="D457" t="s">
        <v>59</v>
      </c>
      <c r="E457" t="s">
        <v>8</v>
      </c>
      <c r="F457">
        <v>1045.1199999999999</v>
      </c>
      <c r="G457" t="s">
        <v>9</v>
      </c>
      <c r="H457">
        <v>15000</v>
      </c>
      <c r="I457">
        <f t="shared" si="7"/>
        <v>0</v>
      </c>
    </row>
    <row r="458" spans="1:9" x14ac:dyDescent="0.3">
      <c r="A458" s="2">
        <v>45986</v>
      </c>
      <c r="B458" s="1" t="s">
        <v>62</v>
      </c>
      <c r="C458" t="s">
        <v>13</v>
      </c>
      <c r="D458" t="s">
        <v>63</v>
      </c>
      <c r="E458" t="s">
        <v>8</v>
      </c>
      <c r="F458">
        <v>1432.95</v>
      </c>
      <c r="G458" t="s">
        <v>9</v>
      </c>
      <c r="H458">
        <v>15000</v>
      </c>
      <c r="I458">
        <f t="shared" si="7"/>
        <v>0</v>
      </c>
    </row>
    <row r="459" spans="1:9" x14ac:dyDescent="0.3">
      <c r="A459" s="2">
        <v>45986</v>
      </c>
      <c r="B459" s="1" t="s">
        <v>62</v>
      </c>
      <c r="C459" t="s">
        <v>13</v>
      </c>
      <c r="D459" t="s">
        <v>63</v>
      </c>
      <c r="E459" t="s">
        <v>8</v>
      </c>
      <c r="F459">
        <v>3140.7</v>
      </c>
      <c r="G459" t="s">
        <v>10</v>
      </c>
      <c r="H459">
        <v>15000</v>
      </c>
      <c r="I459">
        <f t="shared" si="7"/>
        <v>0</v>
      </c>
    </row>
    <row r="460" spans="1:9" x14ac:dyDescent="0.3">
      <c r="A460" s="2">
        <v>45986</v>
      </c>
      <c r="B460" s="1" t="s">
        <v>62</v>
      </c>
      <c r="C460" t="s">
        <v>13</v>
      </c>
      <c r="D460" t="s">
        <v>63</v>
      </c>
      <c r="E460" t="s">
        <v>8</v>
      </c>
      <c r="F460">
        <v>869.4</v>
      </c>
      <c r="G460" t="s">
        <v>9</v>
      </c>
      <c r="H460">
        <v>15000</v>
      </c>
      <c r="I460">
        <f t="shared" si="7"/>
        <v>0</v>
      </c>
    </row>
    <row r="461" spans="1:9" x14ac:dyDescent="0.3">
      <c r="A461" s="2">
        <v>46012</v>
      </c>
      <c r="B461" s="1" t="s">
        <v>64</v>
      </c>
      <c r="C461" t="s">
        <v>11</v>
      </c>
      <c r="D461" t="s">
        <v>65</v>
      </c>
      <c r="E461" t="s">
        <v>8</v>
      </c>
      <c r="F461">
        <v>3564.75</v>
      </c>
      <c r="G461" t="s">
        <v>12</v>
      </c>
      <c r="H461">
        <v>15000</v>
      </c>
      <c r="I461">
        <f t="shared" si="7"/>
        <v>0</v>
      </c>
    </row>
    <row r="462" spans="1:9" x14ac:dyDescent="0.3">
      <c r="A462" s="2">
        <v>46012</v>
      </c>
      <c r="B462" s="1" t="s">
        <v>62</v>
      </c>
      <c r="C462" t="s">
        <v>13</v>
      </c>
      <c r="D462" t="s">
        <v>63</v>
      </c>
      <c r="E462" t="s">
        <v>8</v>
      </c>
      <c r="F462">
        <v>911.6</v>
      </c>
      <c r="G462" t="s">
        <v>9</v>
      </c>
      <c r="H462">
        <v>15000</v>
      </c>
      <c r="I462">
        <f t="shared" si="7"/>
        <v>0</v>
      </c>
    </row>
    <row r="463" spans="1:9" x14ac:dyDescent="0.3">
      <c r="A463" s="2">
        <v>46012</v>
      </c>
      <c r="B463" s="1" t="s">
        <v>64</v>
      </c>
      <c r="C463" t="s">
        <v>11</v>
      </c>
      <c r="D463" t="s">
        <v>65</v>
      </c>
      <c r="E463" t="s">
        <v>8</v>
      </c>
      <c r="F463">
        <v>1011.03</v>
      </c>
      <c r="G463" t="s">
        <v>9</v>
      </c>
      <c r="H463">
        <v>15000</v>
      </c>
      <c r="I463">
        <f t="shared" si="7"/>
        <v>0</v>
      </c>
    </row>
    <row r="464" spans="1:9" x14ac:dyDescent="0.3">
      <c r="A464" s="2">
        <v>46012</v>
      </c>
      <c r="B464" s="1" t="s">
        <v>60</v>
      </c>
      <c r="C464" t="s">
        <v>14</v>
      </c>
      <c r="D464" t="s">
        <v>61</v>
      </c>
      <c r="E464" t="s">
        <v>8</v>
      </c>
      <c r="F464">
        <v>2795.68</v>
      </c>
      <c r="G464" t="s">
        <v>10</v>
      </c>
      <c r="H464">
        <v>15000</v>
      </c>
      <c r="I464">
        <f t="shared" si="7"/>
        <v>0</v>
      </c>
    </row>
    <row r="465" spans="1:9" x14ac:dyDescent="0.3">
      <c r="A465" s="2">
        <v>46012</v>
      </c>
      <c r="B465" s="1" t="s">
        <v>60</v>
      </c>
      <c r="C465" t="s">
        <v>14</v>
      </c>
      <c r="D465" t="s">
        <v>61</v>
      </c>
      <c r="E465" t="s">
        <v>8</v>
      </c>
      <c r="F465">
        <v>2767.09</v>
      </c>
      <c r="G465" t="s">
        <v>12</v>
      </c>
      <c r="H465">
        <v>15000</v>
      </c>
      <c r="I465">
        <f t="shared" si="7"/>
        <v>0</v>
      </c>
    </row>
    <row r="466" spans="1:9" x14ac:dyDescent="0.3">
      <c r="A466" s="2">
        <v>46012</v>
      </c>
      <c r="B466" s="1" t="s">
        <v>64</v>
      </c>
      <c r="C466" t="s">
        <v>11</v>
      </c>
      <c r="D466" t="s">
        <v>65</v>
      </c>
      <c r="E466" t="s">
        <v>8</v>
      </c>
      <c r="F466">
        <v>798.27</v>
      </c>
      <c r="G466" t="s">
        <v>12</v>
      </c>
      <c r="H466">
        <v>15000</v>
      </c>
      <c r="I466">
        <f t="shared" si="7"/>
        <v>0</v>
      </c>
    </row>
    <row r="467" spans="1:9" x14ac:dyDescent="0.3">
      <c r="A467" s="2">
        <v>46012</v>
      </c>
      <c r="B467" s="1" t="s">
        <v>60</v>
      </c>
      <c r="C467" t="s">
        <v>14</v>
      </c>
      <c r="D467" t="s">
        <v>61</v>
      </c>
      <c r="E467" t="s">
        <v>8</v>
      </c>
      <c r="F467">
        <v>2510.2399999999998</v>
      </c>
      <c r="G467" t="s">
        <v>10</v>
      </c>
      <c r="H467">
        <v>15000</v>
      </c>
      <c r="I467">
        <f t="shared" si="7"/>
        <v>0</v>
      </c>
    </row>
    <row r="468" spans="1:9" x14ac:dyDescent="0.3">
      <c r="A468" s="2">
        <v>46012</v>
      </c>
      <c r="B468" s="1" t="s">
        <v>64</v>
      </c>
      <c r="C468" t="s">
        <v>11</v>
      </c>
      <c r="D468" t="s">
        <v>65</v>
      </c>
      <c r="E468" t="s">
        <v>8</v>
      </c>
      <c r="F468">
        <v>3690.72</v>
      </c>
      <c r="G468" t="s">
        <v>10</v>
      </c>
      <c r="H468">
        <v>15000</v>
      </c>
      <c r="I468">
        <f t="shared" si="7"/>
        <v>0</v>
      </c>
    </row>
    <row r="469" spans="1:9" x14ac:dyDescent="0.3">
      <c r="A469" s="2">
        <v>46012</v>
      </c>
      <c r="B469" s="1" t="s">
        <v>66</v>
      </c>
      <c r="C469" t="s">
        <v>74</v>
      </c>
      <c r="D469" t="s">
        <v>67</v>
      </c>
      <c r="E469" t="s">
        <v>8</v>
      </c>
      <c r="F469">
        <v>670.89</v>
      </c>
      <c r="G469" t="s">
        <v>12</v>
      </c>
      <c r="H469">
        <v>15000</v>
      </c>
      <c r="I469">
        <f t="shared" si="7"/>
        <v>0</v>
      </c>
    </row>
    <row r="470" spans="1:9" x14ac:dyDescent="0.3">
      <c r="A470" s="2">
        <v>46012</v>
      </c>
      <c r="B470" s="1" t="s">
        <v>62</v>
      </c>
      <c r="C470" t="s">
        <v>13</v>
      </c>
      <c r="D470" t="s">
        <v>63</v>
      </c>
      <c r="E470" t="s">
        <v>8</v>
      </c>
      <c r="F470">
        <v>2012.8</v>
      </c>
      <c r="G470" t="s">
        <v>12</v>
      </c>
      <c r="H470">
        <v>15000</v>
      </c>
      <c r="I470">
        <f t="shared" si="7"/>
        <v>0</v>
      </c>
    </row>
    <row r="471" spans="1:9" x14ac:dyDescent="0.3">
      <c r="A471" s="2">
        <v>46012</v>
      </c>
      <c r="B471" s="1" t="s">
        <v>66</v>
      </c>
      <c r="C471" t="s">
        <v>74</v>
      </c>
      <c r="D471" t="s">
        <v>67</v>
      </c>
      <c r="E471" t="s">
        <v>8</v>
      </c>
      <c r="F471">
        <v>2116.8000000000002</v>
      </c>
      <c r="G471" t="s">
        <v>9</v>
      </c>
      <c r="H471">
        <v>15000</v>
      </c>
      <c r="I471">
        <f t="shared" si="7"/>
        <v>0</v>
      </c>
    </row>
    <row r="472" spans="1:9" x14ac:dyDescent="0.3">
      <c r="A472" s="2">
        <v>46012</v>
      </c>
      <c r="B472" s="1" t="s">
        <v>57</v>
      </c>
      <c r="C472" t="s">
        <v>58</v>
      </c>
      <c r="D472" t="s">
        <v>59</v>
      </c>
      <c r="E472" t="s">
        <v>8</v>
      </c>
      <c r="F472">
        <v>1158.04</v>
      </c>
      <c r="G472" t="s">
        <v>10</v>
      </c>
      <c r="H472">
        <v>15000</v>
      </c>
      <c r="I472">
        <f t="shared" si="7"/>
        <v>0</v>
      </c>
    </row>
    <row r="473" spans="1:9" x14ac:dyDescent="0.3">
      <c r="A473" s="2">
        <v>46012</v>
      </c>
      <c r="B473" s="1" t="s">
        <v>57</v>
      </c>
      <c r="C473" t="s">
        <v>58</v>
      </c>
      <c r="D473" t="s">
        <v>59</v>
      </c>
      <c r="E473" t="s">
        <v>8</v>
      </c>
      <c r="F473">
        <v>1680.64</v>
      </c>
      <c r="G473" t="s">
        <v>9</v>
      </c>
      <c r="H473">
        <v>15000</v>
      </c>
      <c r="I473">
        <f t="shared" si="7"/>
        <v>0</v>
      </c>
    </row>
    <row r="474" spans="1:9" x14ac:dyDescent="0.3">
      <c r="A474" s="2">
        <v>46012</v>
      </c>
      <c r="B474" s="1" t="s">
        <v>64</v>
      </c>
      <c r="C474" t="s">
        <v>11</v>
      </c>
      <c r="D474" t="s">
        <v>65</v>
      </c>
      <c r="E474" t="s">
        <v>8</v>
      </c>
      <c r="F474">
        <v>690</v>
      </c>
      <c r="G474" t="s">
        <v>10</v>
      </c>
      <c r="H474">
        <v>15000</v>
      </c>
      <c r="I474">
        <f t="shared" si="7"/>
        <v>0</v>
      </c>
    </row>
    <row r="475" spans="1:9" x14ac:dyDescent="0.3">
      <c r="A475" s="2">
        <v>46012</v>
      </c>
      <c r="B475" s="1" t="s">
        <v>62</v>
      </c>
      <c r="C475" t="s">
        <v>13</v>
      </c>
      <c r="D475" t="s">
        <v>63</v>
      </c>
      <c r="E475" t="s">
        <v>8</v>
      </c>
      <c r="F475">
        <v>1430.29</v>
      </c>
      <c r="G475" t="s">
        <v>9</v>
      </c>
      <c r="H475">
        <v>15000</v>
      </c>
      <c r="I475">
        <f t="shared" si="7"/>
        <v>0</v>
      </c>
    </row>
    <row r="476" spans="1:9" x14ac:dyDescent="0.3">
      <c r="A476" s="2">
        <v>46012</v>
      </c>
      <c r="B476" s="1" t="s">
        <v>60</v>
      </c>
      <c r="C476" t="s">
        <v>14</v>
      </c>
      <c r="D476" t="s">
        <v>61</v>
      </c>
      <c r="E476" t="s">
        <v>8</v>
      </c>
      <c r="F476">
        <v>2079.7199999999998</v>
      </c>
      <c r="G476" t="s">
        <v>10</v>
      </c>
      <c r="H476">
        <v>15000</v>
      </c>
      <c r="I476">
        <f t="shared" si="7"/>
        <v>0</v>
      </c>
    </row>
    <row r="477" spans="1:9" x14ac:dyDescent="0.3">
      <c r="A477" s="2">
        <v>46012</v>
      </c>
      <c r="B477" s="1" t="s">
        <v>66</v>
      </c>
      <c r="C477" t="s">
        <v>74</v>
      </c>
      <c r="D477" t="s">
        <v>67</v>
      </c>
      <c r="E477" t="s">
        <v>8</v>
      </c>
      <c r="F477">
        <v>2686.6</v>
      </c>
      <c r="G477" t="s">
        <v>12</v>
      </c>
      <c r="H477">
        <v>15000</v>
      </c>
      <c r="I477">
        <f t="shared" si="7"/>
        <v>0</v>
      </c>
    </row>
    <row r="478" spans="1:9" x14ac:dyDescent="0.3">
      <c r="A478" s="2">
        <v>46012</v>
      </c>
      <c r="B478" s="1" t="s">
        <v>66</v>
      </c>
      <c r="C478" t="s">
        <v>74</v>
      </c>
      <c r="D478" t="s">
        <v>67</v>
      </c>
      <c r="E478" t="s">
        <v>8</v>
      </c>
      <c r="F478">
        <v>968.3</v>
      </c>
      <c r="G478" t="s">
        <v>12</v>
      </c>
      <c r="H478">
        <v>15000</v>
      </c>
      <c r="I478">
        <f t="shared" si="7"/>
        <v>0</v>
      </c>
    </row>
    <row r="479" spans="1:9" x14ac:dyDescent="0.3">
      <c r="A479" s="2">
        <v>46012</v>
      </c>
      <c r="B479" s="1" t="s">
        <v>57</v>
      </c>
      <c r="C479" t="s">
        <v>58</v>
      </c>
      <c r="D479" t="s">
        <v>59</v>
      </c>
      <c r="E479" t="s">
        <v>8</v>
      </c>
      <c r="F479">
        <v>4142.07</v>
      </c>
      <c r="G479" t="s">
        <v>9</v>
      </c>
      <c r="H479">
        <v>15000</v>
      </c>
      <c r="I479">
        <f t="shared" si="7"/>
        <v>0</v>
      </c>
    </row>
    <row r="480" spans="1:9" x14ac:dyDescent="0.3">
      <c r="A480" s="2">
        <v>46012</v>
      </c>
      <c r="B480" s="1" t="s">
        <v>60</v>
      </c>
      <c r="C480" t="s">
        <v>14</v>
      </c>
      <c r="D480" t="s">
        <v>61</v>
      </c>
      <c r="E480" t="s">
        <v>8</v>
      </c>
      <c r="F480">
        <v>1069.47</v>
      </c>
      <c r="G480" t="s">
        <v>12</v>
      </c>
      <c r="H480">
        <v>15000</v>
      </c>
      <c r="I480">
        <f t="shared" si="7"/>
        <v>0</v>
      </c>
    </row>
    <row r="481" spans="1:9" x14ac:dyDescent="0.3">
      <c r="A481" s="2">
        <v>46012</v>
      </c>
      <c r="B481" s="1" t="s">
        <v>64</v>
      </c>
      <c r="C481" t="s">
        <v>11</v>
      </c>
      <c r="D481" t="s">
        <v>65</v>
      </c>
      <c r="E481" t="s">
        <v>8</v>
      </c>
      <c r="F481">
        <v>1059.52</v>
      </c>
      <c r="G481" t="s">
        <v>12</v>
      </c>
      <c r="H481">
        <v>15000</v>
      </c>
      <c r="I481">
        <f t="shared" si="7"/>
        <v>0</v>
      </c>
    </row>
    <row r="482" spans="1:9" x14ac:dyDescent="0.3">
      <c r="A482" s="2">
        <v>46012</v>
      </c>
      <c r="B482" s="1" t="s">
        <v>64</v>
      </c>
      <c r="C482" t="s">
        <v>11</v>
      </c>
      <c r="D482" t="s">
        <v>65</v>
      </c>
      <c r="E482" t="s">
        <v>8</v>
      </c>
      <c r="F482">
        <v>1423.54</v>
      </c>
      <c r="G482" t="s">
        <v>12</v>
      </c>
      <c r="H482">
        <v>15000</v>
      </c>
      <c r="I482">
        <f t="shared" si="7"/>
        <v>0</v>
      </c>
    </row>
    <row r="483" spans="1:9" x14ac:dyDescent="0.3">
      <c r="A483" s="2">
        <v>46012</v>
      </c>
      <c r="B483" s="1" t="s">
        <v>64</v>
      </c>
      <c r="C483" t="s">
        <v>11</v>
      </c>
      <c r="D483" t="s">
        <v>65</v>
      </c>
      <c r="E483" t="s">
        <v>8</v>
      </c>
      <c r="F483">
        <v>3653.02</v>
      </c>
      <c r="G483" t="s">
        <v>10</v>
      </c>
      <c r="H483">
        <v>15000</v>
      </c>
      <c r="I483">
        <f t="shared" si="7"/>
        <v>0</v>
      </c>
    </row>
    <row r="484" spans="1:9" x14ac:dyDescent="0.3">
      <c r="A484" s="2">
        <v>46012</v>
      </c>
      <c r="B484" s="1" t="s">
        <v>60</v>
      </c>
      <c r="C484" t="s">
        <v>14</v>
      </c>
      <c r="D484" t="s">
        <v>61</v>
      </c>
      <c r="E484" t="s">
        <v>8</v>
      </c>
      <c r="F484">
        <v>719.6</v>
      </c>
      <c r="G484" t="s">
        <v>10</v>
      </c>
      <c r="H484">
        <v>15000</v>
      </c>
      <c r="I484">
        <f t="shared" si="7"/>
        <v>0</v>
      </c>
    </row>
    <row r="485" spans="1:9" x14ac:dyDescent="0.3">
      <c r="A485" s="2">
        <v>46012</v>
      </c>
      <c r="B485" s="1" t="s">
        <v>57</v>
      </c>
      <c r="C485" t="s">
        <v>58</v>
      </c>
      <c r="D485" t="s">
        <v>59</v>
      </c>
      <c r="E485" t="s">
        <v>8</v>
      </c>
      <c r="F485">
        <v>299.72000000000003</v>
      </c>
      <c r="G485" t="s">
        <v>9</v>
      </c>
      <c r="H485">
        <v>15000</v>
      </c>
      <c r="I485">
        <f t="shared" si="7"/>
        <v>0</v>
      </c>
    </row>
    <row r="486" spans="1:9" x14ac:dyDescent="0.3">
      <c r="A486" s="2">
        <v>46016</v>
      </c>
      <c r="B486" s="1" t="s">
        <v>66</v>
      </c>
      <c r="C486" t="s">
        <v>74</v>
      </c>
      <c r="D486" t="s">
        <v>67</v>
      </c>
      <c r="E486" t="s">
        <v>8</v>
      </c>
      <c r="F486">
        <v>3689.62</v>
      </c>
      <c r="G486" t="s">
        <v>12</v>
      </c>
      <c r="H486">
        <v>15000</v>
      </c>
      <c r="I486">
        <f t="shared" si="7"/>
        <v>0</v>
      </c>
    </row>
    <row r="487" spans="1:9" x14ac:dyDescent="0.3">
      <c r="A487" s="2">
        <v>46016</v>
      </c>
      <c r="B487" s="1" t="s">
        <v>60</v>
      </c>
      <c r="C487" t="s">
        <v>14</v>
      </c>
      <c r="D487" t="s">
        <v>61</v>
      </c>
      <c r="E487" t="s">
        <v>8</v>
      </c>
      <c r="F487">
        <v>771.4</v>
      </c>
      <c r="G487" t="s">
        <v>9</v>
      </c>
      <c r="H487">
        <v>15000</v>
      </c>
      <c r="I487">
        <f t="shared" si="7"/>
        <v>0</v>
      </c>
    </row>
    <row r="488" spans="1:9" x14ac:dyDescent="0.3">
      <c r="A488" s="2">
        <v>46016</v>
      </c>
      <c r="B488" s="1" t="s">
        <v>62</v>
      </c>
      <c r="C488" t="s">
        <v>13</v>
      </c>
      <c r="D488" t="s">
        <v>63</v>
      </c>
      <c r="E488" t="s">
        <v>8</v>
      </c>
      <c r="F488">
        <v>1636.39</v>
      </c>
      <c r="G488" t="s">
        <v>9</v>
      </c>
      <c r="H488">
        <v>15000</v>
      </c>
      <c r="I488">
        <f t="shared" si="7"/>
        <v>0</v>
      </c>
    </row>
    <row r="489" spans="1:9" x14ac:dyDescent="0.3">
      <c r="A489" s="2">
        <v>46016</v>
      </c>
      <c r="B489" s="1" t="s">
        <v>57</v>
      </c>
      <c r="C489" t="s">
        <v>58</v>
      </c>
      <c r="D489" t="s">
        <v>59</v>
      </c>
      <c r="E489" t="s">
        <v>8</v>
      </c>
      <c r="F489">
        <v>1515.24</v>
      </c>
      <c r="G489" t="s">
        <v>12</v>
      </c>
      <c r="H489">
        <v>15000</v>
      </c>
      <c r="I489">
        <f t="shared" si="7"/>
        <v>0</v>
      </c>
    </row>
  </sheetData>
  <autoFilter ref="A2:G490" xr:uid="{E45F04A2-F752-4D69-98D2-2BCE6B0A7BE1}"/>
  <sortState xmlns:xlrd2="http://schemas.microsoft.com/office/spreadsheetml/2017/richdata2" ref="A3:I491">
    <sortCondition ref="A3:A491" customList="Jan,Feb,Mar,Apr,May,Jun,Jul,Aug,Sep,Oct,Nov,Dec"/>
    <sortCondition ref="E3:E491" customList="North,South,East,West"/>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3926-DE6B-4923-83C9-B40D11255794}">
  <dimension ref="A1:O98"/>
  <sheetViews>
    <sheetView workbookViewId="0">
      <pane ySplit="2" topLeftCell="A3" activePane="bottomLeft" state="frozen"/>
      <selection pane="bottomLeft" activeCell="K2" sqref="K2"/>
    </sheetView>
  </sheetViews>
  <sheetFormatPr defaultRowHeight="14.4" x14ac:dyDescent="0.3"/>
  <cols>
    <col min="10" max="10" width="11.77734375" customWidth="1"/>
    <col min="11" max="11" width="11.44140625" customWidth="1"/>
    <col min="12" max="12" width="12" customWidth="1"/>
    <col min="13" max="13" width="11.21875" customWidth="1"/>
    <col min="14" max="14" width="9.44140625" customWidth="1"/>
  </cols>
  <sheetData>
    <row r="1" spans="1:15" ht="28.8" customHeight="1" x14ac:dyDescent="0.3">
      <c r="A1" s="27" t="s">
        <v>78</v>
      </c>
      <c r="B1" s="27"/>
      <c r="C1" s="27"/>
      <c r="D1" s="27"/>
      <c r="E1" s="27"/>
      <c r="F1" s="27"/>
      <c r="G1" s="27"/>
      <c r="H1" s="27"/>
      <c r="I1" s="27"/>
      <c r="J1" s="27"/>
      <c r="K1" s="27"/>
      <c r="L1" s="27"/>
      <c r="M1" s="27"/>
      <c r="N1" s="27"/>
      <c r="O1" s="27"/>
    </row>
    <row r="2" spans="1:15" ht="28.8" x14ac:dyDescent="0.3">
      <c r="A2" s="16" t="s">
        <v>0</v>
      </c>
      <c r="B2" s="17" t="s">
        <v>1</v>
      </c>
      <c r="C2" s="17" t="s">
        <v>2</v>
      </c>
      <c r="D2" s="17" t="s">
        <v>3</v>
      </c>
      <c r="E2" s="17" t="s">
        <v>4</v>
      </c>
      <c r="F2" s="17" t="s">
        <v>5</v>
      </c>
      <c r="G2" s="17" t="s">
        <v>6</v>
      </c>
      <c r="H2" s="16" t="s">
        <v>76</v>
      </c>
      <c r="I2" s="18" t="s">
        <v>77</v>
      </c>
      <c r="J2" s="17" t="s">
        <v>28</v>
      </c>
      <c r="K2" s="17" t="s">
        <v>32</v>
      </c>
      <c r="L2" s="17" t="s">
        <v>35</v>
      </c>
      <c r="M2" s="17" t="s">
        <v>38</v>
      </c>
      <c r="N2" s="17" t="s">
        <v>71</v>
      </c>
    </row>
    <row r="3" spans="1:15" ht="28.8" x14ac:dyDescent="0.3">
      <c r="A3" s="2">
        <v>45678</v>
      </c>
      <c r="B3" s="1" t="s">
        <v>28</v>
      </c>
      <c r="C3" t="s">
        <v>29</v>
      </c>
      <c r="D3" t="s">
        <v>30</v>
      </c>
      <c r="E3" t="s">
        <v>31</v>
      </c>
      <c r="F3">
        <v>3035.1</v>
      </c>
      <c r="G3" t="s">
        <v>10</v>
      </c>
      <c r="H3">
        <v>15000</v>
      </c>
      <c r="I3">
        <v>0</v>
      </c>
      <c r="J3">
        <f>SUMIF($B$3:$B$100, J$2, $F$3:$F$100)</f>
        <v>517004.6</v>
      </c>
      <c r="K3">
        <f>SUMIF($B$3:$B$100, K$2, $F$3:$F$100)</f>
        <v>439469.89999999997</v>
      </c>
      <c r="L3">
        <f>SUMIF($B$3:$B$100, L$2, $F$3:$F$100)</f>
        <v>289580.79999999999</v>
      </c>
      <c r="M3">
        <f>SUMIF($B$3:$B$100, M$2, $F$3:$F$100)</f>
        <v>335128.90000000002</v>
      </c>
      <c r="N3">
        <f>SUMIF($B$3:$B$100, N$2, $F$3:$F$100)</f>
        <v>364649.00000000006</v>
      </c>
    </row>
    <row r="4" spans="1:15" ht="28.8" x14ac:dyDescent="0.3">
      <c r="A4" s="2">
        <v>45678</v>
      </c>
      <c r="B4" s="1" t="s">
        <v>32</v>
      </c>
      <c r="C4" t="s">
        <v>33</v>
      </c>
      <c r="D4" t="s">
        <v>34</v>
      </c>
      <c r="E4" t="s">
        <v>31</v>
      </c>
      <c r="F4">
        <v>3710</v>
      </c>
      <c r="G4" t="s">
        <v>12</v>
      </c>
      <c r="H4">
        <v>15000</v>
      </c>
      <c r="I4">
        <v>0</v>
      </c>
    </row>
    <row r="5" spans="1:15" x14ac:dyDescent="0.3">
      <c r="A5" s="2">
        <v>45678</v>
      </c>
      <c r="B5" s="1" t="s">
        <v>28</v>
      </c>
      <c r="C5" t="s">
        <v>29</v>
      </c>
      <c r="D5" t="s">
        <v>30</v>
      </c>
      <c r="E5" t="s">
        <v>31</v>
      </c>
      <c r="F5">
        <v>6201</v>
      </c>
      <c r="G5" t="s">
        <v>12</v>
      </c>
      <c r="H5">
        <v>15000</v>
      </c>
      <c r="I5">
        <v>0</v>
      </c>
    </row>
    <row r="6" spans="1:15" x14ac:dyDescent="0.3">
      <c r="A6" s="2">
        <v>45678</v>
      </c>
      <c r="B6" s="1" t="s">
        <v>35</v>
      </c>
      <c r="C6" t="s">
        <v>36</v>
      </c>
      <c r="D6" t="s">
        <v>37</v>
      </c>
      <c r="E6" t="s">
        <v>31</v>
      </c>
      <c r="F6">
        <v>6311.4</v>
      </c>
      <c r="G6" t="s">
        <v>12</v>
      </c>
      <c r="H6">
        <v>15000</v>
      </c>
      <c r="I6">
        <v>0</v>
      </c>
    </row>
    <row r="7" spans="1:15" x14ac:dyDescent="0.3">
      <c r="A7" s="2">
        <v>45678</v>
      </c>
      <c r="B7" s="1" t="s">
        <v>38</v>
      </c>
      <c r="C7" t="s">
        <v>39</v>
      </c>
      <c r="D7" t="s">
        <v>40</v>
      </c>
      <c r="E7" t="s">
        <v>31</v>
      </c>
      <c r="F7">
        <v>6600</v>
      </c>
      <c r="G7" t="s">
        <v>9</v>
      </c>
      <c r="H7">
        <v>15000</v>
      </c>
      <c r="I7">
        <v>0</v>
      </c>
    </row>
    <row r="8" spans="1:15" x14ac:dyDescent="0.3">
      <c r="A8" s="2">
        <v>45678</v>
      </c>
      <c r="B8" s="1" t="s">
        <v>38</v>
      </c>
      <c r="C8" t="s">
        <v>39</v>
      </c>
      <c r="D8" t="s">
        <v>40</v>
      </c>
      <c r="E8" t="s">
        <v>31</v>
      </c>
      <c r="F8">
        <v>6688</v>
      </c>
      <c r="G8" t="s">
        <v>10</v>
      </c>
      <c r="H8">
        <v>15000</v>
      </c>
      <c r="I8">
        <v>0</v>
      </c>
    </row>
    <row r="9" spans="1:15" x14ac:dyDescent="0.3">
      <c r="A9" s="2">
        <v>45709</v>
      </c>
      <c r="B9" s="1" t="s">
        <v>28</v>
      </c>
      <c r="C9" t="s">
        <v>29</v>
      </c>
      <c r="D9" t="s">
        <v>30</v>
      </c>
      <c r="E9" t="s">
        <v>31</v>
      </c>
      <c r="F9">
        <v>7024.2</v>
      </c>
      <c r="G9" t="s">
        <v>12</v>
      </c>
      <c r="H9">
        <v>15000</v>
      </c>
      <c r="I9">
        <v>0</v>
      </c>
    </row>
    <row r="10" spans="1:15" x14ac:dyDescent="0.3">
      <c r="A10" s="2">
        <v>45709</v>
      </c>
      <c r="B10" s="1" t="s">
        <v>38</v>
      </c>
      <c r="C10" t="s">
        <v>39</v>
      </c>
      <c r="D10" t="s">
        <v>40</v>
      </c>
      <c r="E10" t="s">
        <v>31</v>
      </c>
      <c r="F10">
        <v>7139</v>
      </c>
      <c r="G10" t="s">
        <v>9</v>
      </c>
      <c r="H10">
        <v>15000</v>
      </c>
      <c r="I10">
        <v>0</v>
      </c>
    </row>
    <row r="11" spans="1:15" x14ac:dyDescent="0.3">
      <c r="A11" s="2">
        <v>45709</v>
      </c>
      <c r="B11" s="1" t="s">
        <v>32</v>
      </c>
      <c r="C11" t="s">
        <v>33</v>
      </c>
      <c r="D11" t="s">
        <v>34</v>
      </c>
      <c r="E11" t="s">
        <v>31</v>
      </c>
      <c r="F11">
        <v>7289.6</v>
      </c>
      <c r="G11" t="s">
        <v>9</v>
      </c>
      <c r="H11">
        <v>15000</v>
      </c>
      <c r="I11">
        <v>0</v>
      </c>
    </row>
    <row r="12" spans="1:15" x14ac:dyDescent="0.3">
      <c r="A12" s="2">
        <v>45709</v>
      </c>
      <c r="B12" s="1" t="s">
        <v>38</v>
      </c>
      <c r="C12" t="s">
        <v>39</v>
      </c>
      <c r="D12" t="s">
        <v>40</v>
      </c>
      <c r="E12" t="s">
        <v>31</v>
      </c>
      <c r="F12">
        <v>7416.9</v>
      </c>
      <c r="G12" t="s">
        <v>12</v>
      </c>
      <c r="H12">
        <v>15000</v>
      </c>
      <c r="I12">
        <v>0</v>
      </c>
    </row>
    <row r="13" spans="1:15" x14ac:dyDescent="0.3">
      <c r="A13" s="2">
        <v>45709</v>
      </c>
      <c r="B13" s="1" t="s">
        <v>32</v>
      </c>
      <c r="C13" t="s">
        <v>33</v>
      </c>
      <c r="D13" t="s">
        <v>34</v>
      </c>
      <c r="E13" t="s">
        <v>31</v>
      </c>
      <c r="F13">
        <v>7582</v>
      </c>
      <c r="G13" t="s">
        <v>9</v>
      </c>
      <c r="H13">
        <v>15000</v>
      </c>
      <c r="I13">
        <v>0</v>
      </c>
    </row>
    <row r="14" spans="1:15" x14ac:dyDescent="0.3">
      <c r="A14" s="2">
        <v>45709</v>
      </c>
      <c r="B14" s="1" t="s">
        <v>35</v>
      </c>
      <c r="C14" t="s">
        <v>36</v>
      </c>
      <c r="D14" t="s">
        <v>37</v>
      </c>
      <c r="E14" t="s">
        <v>31</v>
      </c>
      <c r="F14">
        <v>7721.6</v>
      </c>
      <c r="G14" t="s">
        <v>9</v>
      </c>
      <c r="H14">
        <v>15000</v>
      </c>
      <c r="I14">
        <v>0</v>
      </c>
    </row>
    <row r="15" spans="1:15" x14ac:dyDescent="0.3">
      <c r="A15" s="2">
        <v>45713</v>
      </c>
      <c r="B15" s="1" t="s">
        <v>71</v>
      </c>
      <c r="C15" t="s">
        <v>72</v>
      </c>
      <c r="D15" t="s">
        <v>73</v>
      </c>
      <c r="E15" t="s">
        <v>31</v>
      </c>
      <c r="F15">
        <v>8001</v>
      </c>
      <c r="G15" t="s">
        <v>9</v>
      </c>
      <c r="H15">
        <v>15000</v>
      </c>
      <c r="I15">
        <v>0</v>
      </c>
    </row>
    <row r="16" spans="1:15" x14ac:dyDescent="0.3">
      <c r="A16" s="2">
        <v>45713</v>
      </c>
      <c r="B16" s="1" t="s">
        <v>32</v>
      </c>
      <c r="C16" t="s">
        <v>33</v>
      </c>
      <c r="D16" t="s">
        <v>34</v>
      </c>
      <c r="E16" t="s">
        <v>31</v>
      </c>
      <c r="F16">
        <v>8284.5</v>
      </c>
      <c r="G16" t="s">
        <v>10</v>
      </c>
      <c r="H16">
        <v>15000</v>
      </c>
      <c r="I16">
        <v>0</v>
      </c>
    </row>
    <row r="17" spans="1:9" x14ac:dyDescent="0.3">
      <c r="A17" s="2">
        <v>45737</v>
      </c>
      <c r="B17" s="1" t="s">
        <v>32</v>
      </c>
      <c r="C17" t="s">
        <v>33</v>
      </c>
      <c r="D17" t="s">
        <v>34</v>
      </c>
      <c r="E17" t="s">
        <v>31</v>
      </c>
      <c r="F17">
        <v>8322.4</v>
      </c>
      <c r="G17" t="s">
        <v>9</v>
      </c>
      <c r="H17">
        <v>15000</v>
      </c>
      <c r="I17">
        <v>0</v>
      </c>
    </row>
    <row r="18" spans="1:9" x14ac:dyDescent="0.3">
      <c r="A18" s="2">
        <v>45737</v>
      </c>
      <c r="B18" s="1" t="s">
        <v>38</v>
      </c>
      <c r="C18" t="s">
        <v>39</v>
      </c>
      <c r="D18" t="s">
        <v>40</v>
      </c>
      <c r="E18" t="s">
        <v>31</v>
      </c>
      <c r="F18">
        <v>8501.9</v>
      </c>
      <c r="G18" t="s">
        <v>10</v>
      </c>
      <c r="H18">
        <v>15000</v>
      </c>
      <c r="I18">
        <v>0</v>
      </c>
    </row>
    <row r="19" spans="1:9" x14ac:dyDescent="0.3">
      <c r="A19" s="2">
        <v>45737</v>
      </c>
      <c r="B19" s="1" t="s">
        <v>28</v>
      </c>
      <c r="C19" t="s">
        <v>29</v>
      </c>
      <c r="D19" t="s">
        <v>30</v>
      </c>
      <c r="E19" t="s">
        <v>31</v>
      </c>
      <c r="F19">
        <v>8520</v>
      </c>
      <c r="G19" t="s">
        <v>12</v>
      </c>
      <c r="H19">
        <v>15000</v>
      </c>
      <c r="I19">
        <v>0</v>
      </c>
    </row>
    <row r="20" spans="1:9" x14ac:dyDescent="0.3">
      <c r="A20" s="2">
        <v>45737</v>
      </c>
      <c r="B20" s="1" t="s">
        <v>28</v>
      </c>
      <c r="C20" t="s">
        <v>29</v>
      </c>
      <c r="D20" t="s">
        <v>30</v>
      </c>
      <c r="E20" t="s">
        <v>31</v>
      </c>
      <c r="F20">
        <v>8721.6</v>
      </c>
      <c r="G20" t="s">
        <v>12</v>
      </c>
      <c r="H20">
        <v>15000</v>
      </c>
      <c r="I20">
        <v>0</v>
      </c>
    </row>
    <row r="21" spans="1:9" x14ac:dyDescent="0.3">
      <c r="A21" s="2">
        <v>45737</v>
      </c>
      <c r="B21" s="1" t="s">
        <v>32</v>
      </c>
      <c r="C21" t="s">
        <v>33</v>
      </c>
      <c r="D21" t="s">
        <v>34</v>
      </c>
      <c r="E21" t="s">
        <v>31</v>
      </c>
      <c r="F21">
        <v>8772</v>
      </c>
      <c r="G21" t="s">
        <v>10</v>
      </c>
      <c r="H21">
        <v>15000</v>
      </c>
      <c r="I21">
        <v>0</v>
      </c>
    </row>
    <row r="22" spans="1:9" x14ac:dyDescent="0.3">
      <c r="A22" s="2">
        <v>45737</v>
      </c>
      <c r="B22" s="1" t="s">
        <v>32</v>
      </c>
      <c r="C22" t="s">
        <v>33</v>
      </c>
      <c r="D22" t="s">
        <v>34</v>
      </c>
      <c r="E22" t="s">
        <v>31</v>
      </c>
      <c r="F22">
        <v>8925.7000000000007</v>
      </c>
      <c r="G22" t="s">
        <v>9</v>
      </c>
      <c r="H22">
        <v>15000</v>
      </c>
      <c r="I22">
        <v>0</v>
      </c>
    </row>
    <row r="23" spans="1:9" x14ac:dyDescent="0.3">
      <c r="A23" s="2">
        <v>45737</v>
      </c>
      <c r="B23" s="1" t="s">
        <v>35</v>
      </c>
      <c r="C23" t="s">
        <v>36</v>
      </c>
      <c r="D23" t="s">
        <v>37</v>
      </c>
      <c r="E23" t="s">
        <v>31</v>
      </c>
      <c r="F23">
        <v>9270.1</v>
      </c>
      <c r="G23" t="s">
        <v>9</v>
      </c>
      <c r="H23">
        <v>15000</v>
      </c>
      <c r="I23">
        <v>0</v>
      </c>
    </row>
    <row r="24" spans="1:9" x14ac:dyDescent="0.3">
      <c r="A24" s="2">
        <v>45737</v>
      </c>
      <c r="B24" s="1" t="s">
        <v>71</v>
      </c>
      <c r="C24" t="s">
        <v>72</v>
      </c>
      <c r="D24" t="s">
        <v>73</v>
      </c>
      <c r="E24" t="s">
        <v>31</v>
      </c>
      <c r="F24">
        <v>9292.5</v>
      </c>
      <c r="G24" t="s">
        <v>10</v>
      </c>
      <c r="H24">
        <v>15000</v>
      </c>
      <c r="I24">
        <v>0</v>
      </c>
    </row>
    <row r="25" spans="1:9" x14ac:dyDescent="0.3">
      <c r="A25" s="2">
        <v>45737</v>
      </c>
      <c r="B25" s="1" t="s">
        <v>28</v>
      </c>
      <c r="C25" t="s">
        <v>29</v>
      </c>
      <c r="D25" t="s">
        <v>30</v>
      </c>
      <c r="E25" t="s">
        <v>31</v>
      </c>
      <c r="F25">
        <v>9708.2999999999993</v>
      </c>
      <c r="G25" t="s">
        <v>10</v>
      </c>
      <c r="H25">
        <v>15000</v>
      </c>
      <c r="I25">
        <v>0</v>
      </c>
    </row>
    <row r="26" spans="1:9" x14ac:dyDescent="0.3">
      <c r="A26" s="2">
        <v>45737</v>
      </c>
      <c r="B26" s="1" t="s">
        <v>32</v>
      </c>
      <c r="C26" t="s">
        <v>33</v>
      </c>
      <c r="D26" t="s">
        <v>34</v>
      </c>
      <c r="E26" t="s">
        <v>31</v>
      </c>
      <c r="F26">
        <v>10500</v>
      </c>
      <c r="G26" t="s">
        <v>10</v>
      </c>
      <c r="H26">
        <v>15000</v>
      </c>
      <c r="I26">
        <v>0</v>
      </c>
    </row>
    <row r="27" spans="1:9" x14ac:dyDescent="0.3">
      <c r="A27" s="2">
        <v>45737</v>
      </c>
      <c r="B27" s="1" t="s">
        <v>28</v>
      </c>
      <c r="C27" t="s">
        <v>29</v>
      </c>
      <c r="D27" t="s">
        <v>30</v>
      </c>
      <c r="E27" t="s">
        <v>31</v>
      </c>
      <c r="F27">
        <v>10758.7</v>
      </c>
      <c r="G27" t="s">
        <v>10</v>
      </c>
      <c r="H27">
        <v>15000</v>
      </c>
      <c r="I27">
        <v>0</v>
      </c>
    </row>
    <row r="28" spans="1:9" x14ac:dyDescent="0.3">
      <c r="A28" s="2">
        <v>45737</v>
      </c>
      <c r="B28" s="1" t="s">
        <v>32</v>
      </c>
      <c r="C28" t="s">
        <v>33</v>
      </c>
      <c r="D28" t="s">
        <v>34</v>
      </c>
      <c r="E28" t="s">
        <v>31</v>
      </c>
      <c r="F28">
        <v>10948</v>
      </c>
      <c r="G28" t="s">
        <v>10</v>
      </c>
      <c r="H28">
        <v>15000</v>
      </c>
      <c r="I28">
        <v>0</v>
      </c>
    </row>
    <row r="29" spans="1:9" x14ac:dyDescent="0.3">
      <c r="A29" s="2">
        <v>45737</v>
      </c>
      <c r="B29" s="1" t="s">
        <v>32</v>
      </c>
      <c r="C29" t="s">
        <v>33</v>
      </c>
      <c r="D29" t="s">
        <v>34</v>
      </c>
      <c r="E29" t="s">
        <v>31</v>
      </c>
      <c r="F29">
        <v>10988.8</v>
      </c>
      <c r="G29" t="s">
        <v>9</v>
      </c>
      <c r="H29">
        <v>15000</v>
      </c>
      <c r="I29">
        <v>0</v>
      </c>
    </row>
    <row r="30" spans="1:9" ht="28.8" x14ac:dyDescent="0.3">
      <c r="A30" s="2">
        <v>45737</v>
      </c>
      <c r="B30" s="1" t="s">
        <v>35</v>
      </c>
      <c r="C30" t="s">
        <v>36</v>
      </c>
      <c r="D30" t="s">
        <v>37</v>
      </c>
      <c r="E30" t="s">
        <v>31</v>
      </c>
      <c r="F30">
        <v>11235</v>
      </c>
      <c r="G30" t="s">
        <v>12</v>
      </c>
      <c r="H30">
        <v>15000</v>
      </c>
      <c r="I30">
        <v>0</v>
      </c>
    </row>
    <row r="31" spans="1:9" ht="28.8" x14ac:dyDescent="0.3">
      <c r="A31" s="2">
        <v>45737</v>
      </c>
      <c r="B31" s="1" t="s">
        <v>71</v>
      </c>
      <c r="C31" t="s">
        <v>72</v>
      </c>
      <c r="D31" t="s">
        <v>73</v>
      </c>
      <c r="E31" t="s">
        <v>31</v>
      </c>
      <c r="F31">
        <v>12019.8</v>
      </c>
      <c r="G31" t="s">
        <v>9</v>
      </c>
      <c r="H31">
        <v>15000</v>
      </c>
      <c r="I31">
        <v>0</v>
      </c>
    </row>
    <row r="32" spans="1:9" ht="28.8" x14ac:dyDescent="0.3">
      <c r="A32" s="2">
        <v>45741</v>
      </c>
      <c r="B32" s="1" t="s">
        <v>35</v>
      </c>
      <c r="C32" t="s">
        <v>36</v>
      </c>
      <c r="D32" t="s">
        <v>37</v>
      </c>
      <c r="E32" t="s">
        <v>31</v>
      </c>
      <c r="F32">
        <v>12124.2</v>
      </c>
      <c r="G32" t="s">
        <v>12</v>
      </c>
      <c r="H32">
        <v>15000</v>
      </c>
      <c r="I32">
        <v>0</v>
      </c>
    </row>
    <row r="33" spans="1:9" ht="28.8" x14ac:dyDescent="0.3">
      <c r="A33" s="2">
        <v>45768</v>
      </c>
      <c r="B33" s="1" t="s">
        <v>32</v>
      </c>
      <c r="C33" t="s">
        <v>33</v>
      </c>
      <c r="D33" t="s">
        <v>34</v>
      </c>
      <c r="E33" t="s">
        <v>31</v>
      </c>
      <c r="F33">
        <v>12306.6</v>
      </c>
      <c r="G33" t="s">
        <v>10</v>
      </c>
      <c r="H33">
        <v>15000</v>
      </c>
      <c r="I33">
        <v>0</v>
      </c>
    </row>
    <row r="34" spans="1:9" ht="28.8" x14ac:dyDescent="0.3">
      <c r="A34" s="2">
        <v>45768</v>
      </c>
      <c r="B34" s="1" t="s">
        <v>32</v>
      </c>
      <c r="C34" t="s">
        <v>33</v>
      </c>
      <c r="D34" t="s">
        <v>34</v>
      </c>
      <c r="E34" t="s">
        <v>31</v>
      </c>
      <c r="F34">
        <v>12944.4</v>
      </c>
      <c r="G34" t="s">
        <v>10</v>
      </c>
      <c r="H34">
        <v>15000</v>
      </c>
      <c r="I34">
        <v>0</v>
      </c>
    </row>
    <row r="35" spans="1:9" ht="28.8" x14ac:dyDescent="0.3">
      <c r="A35" s="2">
        <v>45768</v>
      </c>
      <c r="B35" s="1" t="s">
        <v>28</v>
      </c>
      <c r="C35" t="s">
        <v>29</v>
      </c>
      <c r="D35" t="s">
        <v>30</v>
      </c>
      <c r="E35" t="s">
        <v>31</v>
      </c>
      <c r="F35">
        <v>13310.4</v>
      </c>
      <c r="G35" t="s">
        <v>9</v>
      </c>
      <c r="H35">
        <v>15000</v>
      </c>
      <c r="I35">
        <v>0</v>
      </c>
    </row>
    <row r="36" spans="1:9" ht="28.8" x14ac:dyDescent="0.3">
      <c r="A36" s="2">
        <v>45768</v>
      </c>
      <c r="B36" s="1" t="s">
        <v>35</v>
      </c>
      <c r="C36" t="s">
        <v>36</v>
      </c>
      <c r="D36" t="s">
        <v>37</v>
      </c>
      <c r="E36" t="s">
        <v>31</v>
      </c>
      <c r="F36">
        <v>13467</v>
      </c>
      <c r="G36" t="s">
        <v>12</v>
      </c>
      <c r="H36">
        <v>15000</v>
      </c>
      <c r="I36">
        <v>0</v>
      </c>
    </row>
    <row r="37" spans="1:9" ht="28.8" x14ac:dyDescent="0.3">
      <c r="A37" s="2">
        <v>45768</v>
      </c>
      <c r="B37" s="1" t="s">
        <v>35</v>
      </c>
      <c r="C37" t="s">
        <v>36</v>
      </c>
      <c r="D37" t="s">
        <v>37</v>
      </c>
      <c r="E37" t="s">
        <v>31</v>
      </c>
      <c r="F37">
        <v>13479.4</v>
      </c>
      <c r="G37" t="s">
        <v>12</v>
      </c>
      <c r="H37">
        <v>15000</v>
      </c>
      <c r="I37">
        <v>0</v>
      </c>
    </row>
    <row r="38" spans="1:9" ht="28.8" x14ac:dyDescent="0.3">
      <c r="A38" s="2">
        <v>45768</v>
      </c>
      <c r="B38" s="1" t="s">
        <v>32</v>
      </c>
      <c r="C38" t="s">
        <v>33</v>
      </c>
      <c r="D38" t="s">
        <v>34</v>
      </c>
      <c r="E38" t="s">
        <v>31</v>
      </c>
      <c r="F38">
        <v>14089.2</v>
      </c>
      <c r="G38" t="s">
        <v>10</v>
      </c>
      <c r="H38">
        <v>15000</v>
      </c>
      <c r="I38">
        <v>0</v>
      </c>
    </row>
    <row r="39" spans="1:9" ht="28.8" x14ac:dyDescent="0.3">
      <c r="A39" s="2">
        <v>45768</v>
      </c>
      <c r="B39" s="1" t="s">
        <v>28</v>
      </c>
      <c r="C39" t="s">
        <v>29</v>
      </c>
      <c r="D39" t="s">
        <v>30</v>
      </c>
      <c r="E39" t="s">
        <v>31</v>
      </c>
      <c r="F39">
        <v>14248</v>
      </c>
      <c r="G39" t="s">
        <v>10</v>
      </c>
      <c r="H39">
        <v>15000</v>
      </c>
      <c r="I39">
        <v>0</v>
      </c>
    </row>
    <row r="40" spans="1:9" ht="28.8" x14ac:dyDescent="0.3">
      <c r="A40" s="2">
        <v>45768</v>
      </c>
      <c r="B40" s="1" t="s">
        <v>38</v>
      </c>
      <c r="C40" t="s">
        <v>39</v>
      </c>
      <c r="D40" t="s">
        <v>40</v>
      </c>
      <c r="E40" t="s">
        <v>31</v>
      </c>
      <c r="F40">
        <v>14301.6</v>
      </c>
      <c r="G40" t="s">
        <v>12</v>
      </c>
      <c r="H40">
        <v>15000</v>
      </c>
      <c r="I40">
        <v>0</v>
      </c>
    </row>
    <row r="41" spans="1:9" ht="28.8" x14ac:dyDescent="0.3">
      <c r="A41" s="2">
        <v>45772</v>
      </c>
      <c r="B41" s="1" t="s">
        <v>38</v>
      </c>
      <c r="C41" t="s">
        <v>39</v>
      </c>
      <c r="D41" t="s">
        <v>40</v>
      </c>
      <c r="E41" t="s">
        <v>31</v>
      </c>
      <c r="F41">
        <v>14392</v>
      </c>
      <c r="G41" t="s">
        <v>9</v>
      </c>
      <c r="H41">
        <v>15000</v>
      </c>
      <c r="I41">
        <v>0</v>
      </c>
    </row>
    <row r="42" spans="1:9" ht="28.8" x14ac:dyDescent="0.3">
      <c r="A42" s="2">
        <v>45772</v>
      </c>
      <c r="B42" s="1" t="s">
        <v>32</v>
      </c>
      <c r="C42" t="s">
        <v>33</v>
      </c>
      <c r="D42" t="s">
        <v>34</v>
      </c>
      <c r="E42" t="s">
        <v>31</v>
      </c>
      <c r="F42">
        <v>15246</v>
      </c>
      <c r="G42" t="s">
        <v>9</v>
      </c>
      <c r="H42">
        <v>15000</v>
      </c>
      <c r="I42">
        <v>1524.6000000000001</v>
      </c>
    </row>
    <row r="43" spans="1:9" ht="28.8" x14ac:dyDescent="0.3">
      <c r="A43" s="2">
        <v>45798</v>
      </c>
      <c r="B43" s="1" t="s">
        <v>32</v>
      </c>
      <c r="C43" t="s">
        <v>33</v>
      </c>
      <c r="D43" t="s">
        <v>34</v>
      </c>
      <c r="E43" t="s">
        <v>31</v>
      </c>
      <c r="F43">
        <v>15802.6</v>
      </c>
      <c r="G43" t="s">
        <v>12</v>
      </c>
      <c r="H43">
        <v>15000</v>
      </c>
      <c r="I43">
        <v>1580.2600000000002</v>
      </c>
    </row>
    <row r="44" spans="1:9" ht="28.8" x14ac:dyDescent="0.3">
      <c r="A44" s="2">
        <v>45798</v>
      </c>
      <c r="B44" s="1" t="s">
        <v>35</v>
      </c>
      <c r="C44" t="s">
        <v>36</v>
      </c>
      <c r="D44" t="s">
        <v>37</v>
      </c>
      <c r="E44" t="s">
        <v>31</v>
      </c>
      <c r="F44">
        <v>15957.2</v>
      </c>
      <c r="G44" t="s">
        <v>12</v>
      </c>
      <c r="H44">
        <v>15000</v>
      </c>
      <c r="I44">
        <v>1595.7200000000003</v>
      </c>
    </row>
    <row r="45" spans="1:9" ht="28.8" x14ac:dyDescent="0.3">
      <c r="A45" s="2">
        <v>45798</v>
      </c>
      <c r="B45" s="1" t="s">
        <v>32</v>
      </c>
      <c r="C45" t="s">
        <v>33</v>
      </c>
      <c r="D45" t="s">
        <v>34</v>
      </c>
      <c r="E45" t="s">
        <v>31</v>
      </c>
      <c r="F45">
        <v>16036.8</v>
      </c>
      <c r="G45" t="s">
        <v>10</v>
      </c>
      <c r="H45">
        <v>15000</v>
      </c>
      <c r="I45">
        <v>1603.68</v>
      </c>
    </row>
    <row r="46" spans="1:9" ht="28.8" x14ac:dyDescent="0.3">
      <c r="A46" s="2">
        <v>45798</v>
      </c>
      <c r="B46" s="1" t="s">
        <v>32</v>
      </c>
      <c r="C46" t="s">
        <v>33</v>
      </c>
      <c r="D46" t="s">
        <v>34</v>
      </c>
      <c r="E46" t="s">
        <v>31</v>
      </c>
      <c r="F46">
        <v>16077</v>
      </c>
      <c r="G46" t="s">
        <v>10</v>
      </c>
      <c r="H46">
        <v>15000</v>
      </c>
      <c r="I46">
        <v>1607.7</v>
      </c>
    </row>
    <row r="47" spans="1:9" ht="28.8" x14ac:dyDescent="0.3">
      <c r="A47" s="2">
        <v>45798</v>
      </c>
      <c r="B47" s="1" t="s">
        <v>71</v>
      </c>
      <c r="C47" t="s">
        <v>72</v>
      </c>
      <c r="D47" t="s">
        <v>73</v>
      </c>
      <c r="E47" t="s">
        <v>31</v>
      </c>
      <c r="F47">
        <v>16492</v>
      </c>
      <c r="G47" t="s">
        <v>9</v>
      </c>
      <c r="H47">
        <v>15000</v>
      </c>
      <c r="I47">
        <v>1649.2</v>
      </c>
    </row>
    <row r="48" spans="1:9" ht="28.8" x14ac:dyDescent="0.3">
      <c r="A48" s="2">
        <v>45798</v>
      </c>
      <c r="B48" s="1" t="s">
        <v>28</v>
      </c>
      <c r="C48" t="s">
        <v>29</v>
      </c>
      <c r="D48" t="s">
        <v>30</v>
      </c>
      <c r="E48" t="s">
        <v>31</v>
      </c>
      <c r="F48">
        <v>16604.400000000001</v>
      </c>
      <c r="G48" t="s">
        <v>10</v>
      </c>
      <c r="H48">
        <v>15000</v>
      </c>
      <c r="I48">
        <v>1660.4400000000003</v>
      </c>
    </row>
    <row r="49" spans="1:9" ht="28.8" x14ac:dyDescent="0.3">
      <c r="A49" s="2">
        <v>45798</v>
      </c>
      <c r="B49" s="1" t="s">
        <v>28</v>
      </c>
      <c r="C49" t="s">
        <v>29</v>
      </c>
      <c r="D49" t="s">
        <v>30</v>
      </c>
      <c r="E49" t="s">
        <v>31</v>
      </c>
      <c r="F49">
        <v>16702.400000000001</v>
      </c>
      <c r="G49" t="s">
        <v>10</v>
      </c>
      <c r="H49">
        <v>15000</v>
      </c>
      <c r="I49">
        <v>1670.2400000000002</v>
      </c>
    </row>
    <row r="50" spans="1:9" ht="28.8" x14ac:dyDescent="0.3">
      <c r="A50" s="2">
        <v>45798</v>
      </c>
      <c r="B50" s="1" t="s">
        <v>38</v>
      </c>
      <c r="C50" t="s">
        <v>39</v>
      </c>
      <c r="D50" t="s">
        <v>40</v>
      </c>
      <c r="E50" t="s">
        <v>31</v>
      </c>
      <c r="F50">
        <v>16846.8</v>
      </c>
      <c r="G50" t="s">
        <v>10</v>
      </c>
      <c r="H50">
        <v>15000</v>
      </c>
      <c r="I50">
        <v>1684.68</v>
      </c>
    </row>
    <row r="51" spans="1:9" ht="28.8" x14ac:dyDescent="0.3">
      <c r="A51" s="2">
        <v>45798</v>
      </c>
      <c r="B51" s="1" t="s">
        <v>38</v>
      </c>
      <c r="C51" t="s">
        <v>39</v>
      </c>
      <c r="D51" t="s">
        <v>40</v>
      </c>
      <c r="E51" t="s">
        <v>31</v>
      </c>
      <c r="F51">
        <v>17204.400000000001</v>
      </c>
      <c r="G51" t="s">
        <v>9</v>
      </c>
      <c r="H51">
        <v>15000</v>
      </c>
      <c r="I51">
        <v>1720.4400000000003</v>
      </c>
    </row>
    <row r="52" spans="1:9" ht="28.8" x14ac:dyDescent="0.3">
      <c r="A52" s="2">
        <v>45798</v>
      </c>
      <c r="B52" s="1" t="s">
        <v>38</v>
      </c>
      <c r="C52" t="s">
        <v>39</v>
      </c>
      <c r="D52" t="s">
        <v>40</v>
      </c>
      <c r="E52" t="s">
        <v>31</v>
      </c>
      <c r="F52">
        <v>17335.2</v>
      </c>
      <c r="G52" t="s">
        <v>12</v>
      </c>
      <c r="H52">
        <v>15000</v>
      </c>
      <c r="I52">
        <v>1733.5200000000002</v>
      </c>
    </row>
    <row r="53" spans="1:9" ht="28.8" x14ac:dyDescent="0.3">
      <c r="A53" s="2">
        <v>45829</v>
      </c>
      <c r="B53" s="1" t="s">
        <v>32</v>
      </c>
      <c r="C53" t="s">
        <v>33</v>
      </c>
      <c r="D53" t="s">
        <v>34</v>
      </c>
      <c r="E53" t="s">
        <v>31</v>
      </c>
      <c r="F53">
        <v>18298.400000000001</v>
      </c>
      <c r="G53" t="s">
        <v>12</v>
      </c>
      <c r="H53">
        <v>15000</v>
      </c>
      <c r="I53">
        <v>1829.8400000000001</v>
      </c>
    </row>
    <row r="54" spans="1:9" ht="28.8" x14ac:dyDescent="0.3">
      <c r="A54" s="2">
        <v>45833</v>
      </c>
      <c r="B54" s="1" t="s">
        <v>32</v>
      </c>
      <c r="C54" t="s">
        <v>33</v>
      </c>
      <c r="D54" t="s">
        <v>34</v>
      </c>
      <c r="E54" t="s">
        <v>31</v>
      </c>
      <c r="F54">
        <v>18838.400000000001</v>
      </c>
      <c r="G54" t="s">
        <v>12</v>
      </c>
      <c r="H54">
        <v>15000</v>
      </c>
      <c r="I54">
        <v>1883.8400000000001</v>
      </c>
    </row>
    <row r="55" spans="1:9" ht="28.8" x14ac:dyDescent="0.3">
      <c r="A55" s="2">
        <v>45833</v>
      </c>
      <c r="B55" s="1" t="s">
        <v>32</v>
      </c>
      <c r="C55" t="s">
        <v>33</v>
      </c>
      <c r="D55" t="s">
        <v>34</v>
      </c>
      <c r="E55" t="s">
        <v>31</v>
      </c>
      <c r="F55">
        <v>19080</v>
      </c>
      <c r="G55" t="s">
        <v>10</v>
      </c>
      <c r="H55">
        <v>15000</v>
      </c>
      <c r="I55">
        <v>1908</v>
      </c>
    </row>
    <row r="56" spans="1:9" ht="28.8" x14ac:dyDescent="0.3">
      <c r="A56" s="2">
        <v>45833</v>
      </c>
      <c r="B56" s="1" t="s">
        <v>28</v>
      </c>
      <c r="C56" t="s">
        <v>29</v>
      </c>
      <c r="D56" t="s">
        <v>30</v>
      </c>
      <c r="E56" t="s">
        <v>31</v>
      </c>
      <c r="F56">
        <v>19210.400000000001</v>
      </c>
      <c r="G56" t="s">
        <v>9</v>
      </c>
      <c r="H56">
        <v>15000</v>
      </c>
      <c r="I56">
        <v>1921.0400000000002</v>
      </c>
    </row>
    <row r="57" spans="1:9" ht="28.8" x14ac:dyDescent="0.3">
      <c r="A57" s="2">
        <v>45833</v>
      </c>
      <c r="B57" s="1" t="s">
        <v>35</v>
      </c>
      <c r="C57" t="s">
        <v>36</v>
      </c>
      <c r="D57" t="s">
        <v>37</v>
      </c>
      <c r="E57" t="s">
        <v>31</v>
      </c>
      <c r="F57">
        <v>19594</v>
      </c>
      <c r="G57" t="s">
        <v>10</v>
      </c>
      <c r="H57">
        <v>15000</v>
      </c>
      <c r="I57">
        <v>1959.4</v>
      </c>
    </row>
    <row r="58" spans="1:9" ht="28.8" x14ac:dyDescent="0.3">
      <c r="A58" s="2">
        <v>45833</v>
      </c>
      <c r="B58" s="1" t="s">
        <v>28</v>
      </c>
      <c r="C58" t="s">
        <v>29</v>
      </c>
      <c r="D58" t="s">
        <v>30</v>
      </c>
      <c r="E58" t="s">
        <v>31</v>
      </c>
      <c r="F58">
        <v>19946.2</v>
      </c>
      <c r="G58" t="s">
        <v>12</v>
      </c>
      <c r="H58">
        <v>15000</v>
      </c>
      <c r="I58">
        <v>1994.6200000000001</v>
      </c>
    </row>
    <row r="59" spans="1:9" ht="28.8" x14ac:dyDescent="0.3">
      <c r="A59" s="2">
        <v>45859</v>
      </c>
      <c r="B59" s="1" t="s">
        <v>35</v>
      </c>
      <c r="C59" t="s">
        <v>36</v>
      </c>
      <c r="D59" t="s">
        <v>37</v>
      </c>
      <c r="E59" t="s">
        <v>31</v>
      </c>
      <c r="F59">
        <v>20366.099999999999</v>
      </c>
      <c r="G59" t="s">
        <v>12</v>
      </c>
      <c r="H59">
        <v>15000</v>
      </c>
      <c r="I59">
        <v>2036.61</v>
      </c>
    </row>
    <row r="60" spans="1:9" ht="28.8" x14ac:dyDescent="0.3">
      <c r="A60" s="2">
        <v>45859</v>
      </c>
      <c r="B60" s="1" t="s">
        <v>35</v>
      </c>
      <c r="C60" t="s">
        <v>36</v>
      </c>
      <c r="D60" t="s">
        <v>37</v>
      </c>
      <c r="E60" t="s">
        <v>31</v>
      </c>
      <c r="F60">
        <v>20880</v>
      </c>
      <c r="G60" t="s">
        <v>9</v>
      </c>
      <c r="H60">
        <v>15000</v>
      </c>
      <c r="I60">
        <v>2088</v>
      </c>
    </row>
    <row r="61" spans="1:9" ht="28.8" x14ac:dyDescent="0.3">
      <c r="A61" s="2">
        <v>45859</v>
      </c>
      <c r="B61" s="1" t="s">
        <v>71</v>
      </c>
      <c r="C61" t="s">
        <v>72</v>
      </c>
      <c r="D61" t="s">
        <v>73</v>
      </c>
      <c r="E61" t="s">
        <v>31</v>
      </c>
      <c r="F61">
        <v>21103.3</v>
      </c>
      <c r="G61" t="s">
        <v>12</v>
      </c>
      <c r="H61">
        <v>15000</v>
      </c>
      <c r="I61">
        <v>2110.33</v>
      </c>
    </row>
    <row r="62" spans="1:9" ht="28.8" x14ac:dyDescent="0.3">
      <c r="A62" s="2">
        <v>45859</v>
      </c>
      <c r="B62" s="1" t="s">
        <v>28</v>
      </c>
      <c r="C62" t="s">
        <v>29</v>
      </c>
      <c r="D62" t="s">
        <v>30</v>
      </c>
      <c r="E62" t="s">
        <v>31</v>
      </c>
      <c r="F62">
        <v>21216</v>
      </c>
      <c r="G62" t="s">
        <v>10</v>
      </c>
      <c r="H62">
        <v>15000</v>
      </c>
      <c r="I62">
        <v>2121.6</v>
      </c>
    </row>
    <row r="63" spans="1:9" ht="28.8" x14ac:dyDescent="0.3">
      <c r="A63" s="2">
        <v>45859</v>
      </c>
      <c r="B63" s="1" t="s">
        <v>38</v>
      </c>
      <c r="C63" t="s">
        <v>39</v>
      </c>
      <c r="D63" t="s">
        <v>40</v>
      </c>
      <c r="E63" t="s">
        <v>31</v>
      </c>
      <c r="F63">
        <v>21295.4</v>
      </c>
      <c r="G63" t="s">
        <v>9</v>
      </c>
      <c r="H63">
        <v>15000</v>
      </c>
      <c r="I63">
        <v>2129.5400000000004</v>
      </c>
    </row>
    <row r="64" spans="1:9" ht="28.8" x14ac:dyDescent="0.3">
      <c r="A64" s="2">
        <v>45859</v>
      </c>
      <c r="B64" s="1" t="s">
        <v>38</v>
      </c>
      <c r="C64" t="s">
        <v>39</v>
      </c>
      <c r="D64" t="s">
        <v>40</v>
      </c>
      <c r="E64" t="s">
        <v>31</v>
      </c>
      <c r="F64">
        <v>21546</v>
      </c>
      <c r="G64" t="s">
        <v>9</v>
      </c>
      <c r="H64">
        <v>15000</v>
      </c>
      <c r="I64">
        <v>2154.6</v>
      </c>
    </row>
    <row r="65" spans="1:9" ht="28.8" x14ac:dyDescent="0.3">
      <c r="A65" s="2">
        <v>45859</v>
      </c>
      <c r="B65" s="1" t="s">
        <v>71</v>
      </c>
      <c r="C65" t="s">
        <v>72</v>
      </c>
      <c r="D65" t="s">
        <v>73</v>
      </c>
      <c r="E65" t="s">
        <v>31</v>
      </c>
      <c r="F65">
        <v>22176</v>
      </c>
      <c r="G65" t="s">
        <v>10</v>
      </c>
      <c r="H65">
        <v>15000</v>
      </c>
      <c r="I65">
        <v>2217.6</v>
      </c>
    </row>
    <row r="66" spans="1:9" ht="28.8" x14ac:dyDescent="0.3">
      <c r="A66" s="2">
        <v>45863</v>
      </c>
      <c r="B66" s="1" t="s">
        <v>71</v>
      </c>
      <c r="C66" t="s">
        <v>72</v>
      </c>
      <c r="D66" t="s">
        <v>73</v>
      </c>
      <c r="E66" t="s">
        <v>31</v>
      </c>
      <c r="F66">
        <v>22351.1</v>
      </c>
      <c r="G66" t="s">
        <v>12</v>
      </c>
      <c r="H66">
        <v>15000</v>
      </c>
      <c r="I66">
        <v>2235.11</v>
      </c>
    </row>
    <row r="67" spans="1:9" ht="28.8" x14ac:dyDescent="0.3">
      <c r="A67" s="2">
        <v>45863</v>
      </c>
      <c r="B67" s="1" t="s">
        <v>28</v>
      </c>
      <c r="C67" t="s">
        <v>29</v>
      </c>
      <c r="D67" t="s">
        <v>30</v>
      </c>
      <c r="E67" t="s">
        <v>31</v>
      </c>
      <c r="F67">
        <v>23076.2</v>
      </c>
      <c r="G67" t="s">
        <v>9</v>
      </c>
      <c r="H67">
        <v>15000</v>
      </c>
      <c r="I67">
        <v>2307.6200000000003</v>
      </c>
    </row>
    <row r="68" spans="1:9" ht="28.8" x14ac:dyDescent="0.3">
      <c r="A68" s="2">
        <v>45863</v>
      </c>
      <c r="B68" s="1" t="s">
        <v>35</v>
      </c>
      <c r="C68" t="s">
        <v>36</v>
      </c>
      <c r="D68" t="s">
        <v>37</v>
      </c>
      <c r="E68" t="s">
        <v>31</v>
      </c>
      <c r="F68">
        <v>24131</v>
      </c>
      <c r="G68" t="s">
        <v>10</v>
      </c>
      <c r="H68">
        <v>15000</v>
      </c>
      <c r="I68">
        <v>2413.1</v>
      </c>
    </row>
    <row r="69" spans="1:9" ht="28.8" x14ac:dyDescent="0.3">
      <c r="A69" s="2">
        <v>45863</v>
      </c>
      <c r="B69" s="1" t="s">
        <v>71</v>
      </c>
      <c r="C69" t="s">
        <v>72</v>
      </c>
      <c r="D69" t="s">
        <v>73</v>
      </c>
      <c r="E69" t="s">
        <v>31</v>
      </c>
      <c r="F69">
        <v>24469.599999999999</v>
      </c>
      <c r="G69" t="s">
        <v>10</v>
      </c>
      <c r="H69">
        <v>15000</v>
      </c>
      <c r="I69">
        <v>2446.96</v>
      </c>
    </row>
    <row r="70" spans="1:9" ht="28.8" x14ac:dyDescent="0.3">
      <c r="A70" s="2">
        <v>45863</v>
      </c>
      <c r="B70" s="1" t="s">
        <v>28</v>
      </c>
      <c r="C70" t="s">
        <v>29</v>
      </c>
      <c r="D70" t="s">
        <v>30</v>
      </c>
      <c r="E70" t="s">
        <v>31</v>
      </c>
      <c r="F70">
        <v>25518.799999999999</v>
      </c>
      <c r="G70" t="s">
        <v>9</v>
      </c>
      <c r="H70">
        <v>15000</v>
      </c>
      <c r="I70">
        <v>2551.88</v>
      </c>
    </row>
    <row r="71" spans="1:9" ht="28.8" x14ac:dyDescent="0.3">
      <c r="A71" s="2">
        <v>45863</v>
      </c>
      <c r="B71" s="1" t="s">
        <v>28</v>
      </c>
      <c r="C71" t="s">
        <v>29</v>
      </c>
      <c r="D71" t="s">
        <v>30</v>
      </c>
      <c r="E71" t="s">
        <v>31</v>
      </c>
      <c r="F71">
        <v>25560</v>
      </c>
      <c r="G71" t="s">
        <v>9</v>
      </c>
      <c r="H71">
        <v>15000</v>
      </c>
      <c r="I71">
        <v>2556</v>
      </c>
    </row>
    <row r="72" spans="1:9" ht="28.8" x14ac:dyDescent="0.3">
      <c r="A72" s="2">
        <v>45890</v>
      </c>
      <c r="B72" s="1" t="s">
        <v>71</v>
      </c>
      <c r="C72" t="s">
        <v>72</v>
      </c>
      <c r="D72" t="s">
        <v>73</v>
      </c>
      <c r="E72" t="s">
        <v>31</v>
      </c>
      <c r="F72">
        <v>26773.4</v>
      </c>
      <c r="G72" t="s">
        <v>12</v>
      </c>
      <c r="H72">
        <v>15000</v>
      </c>
      <c r="I72">
        <v>2677.34</v>
      </c>
    </row>
    <row r="73" spans="1:9" ht="28.8" x14ac:dyDescent="0.3">
      <c r="A73" s="2">
        <v>45890</v>
      </c>
      <c r="B73" s="1" t="s">
        <v>28</v>
      </c>
      <c r="C73" t="s">
        <v>29</v>
      </c>
      <c r="D73" t="s">
        <v>30</v>
      </c>
      <c r="E73" t="s">
        <v>31</v>
      </c>
      <c r="F73">
        <v>27676.6</v>
      </c>
      <c r="G73" t="s">
        <v>10</v>
      </c>
      <c r="H73">
        <v>15000</v>
      </c>
      <c r="I73">
        <v>2767.66</v>
      </c>
    </row>
    <row r="74" spans="1:9" ht="28.8" x14ac:dyDescent="0.3">
      <c r="A74" s="2">
        <v>45890</v>
      </c>
      <c r="B74" s="1" t="s">
        <v>28</v>
      </c>
      <c r="C74" t="s">
        <v>29</v>
      </c>
      <c r="D74" t="s">
        <v>30</v>
      </c>
      <c r="E74" t="s">
        <v>31</v>
      </c>
      <c r="F74">
        <v>27930</v>
      </c>
      <c r="G74" t="s">
        <v>10</v>
      </c>
      <c r="H74">
        <v>15000</v>
      </c>
      <c r="I74">
        <v>2793</v>
      </c>
    </row>
    <row r="75" spans="1:9" ht="28.8" x14ac:dyDescent="0.3">
      <c r="A75" s="2">
        <v>45890</v>
      </c>
      <c r="B75" s="1" t="s">
        <v>38</v>
      </c>
      <c r="C75" t="s">
        <v>39</v>
      </c>
      <c r="D75" t="s">
        <v>40</v>
      </c>
      <c r="E75" t="s">
        <v>31</v>
      </c>
      <c r="F75">
        <v>28395</v>
      </c>
      <c r="G75" t="s">
        <v>12</v>
      </c>
      <c r="H75">
        <v>15000</v>
      </c>
      <c r="I75">
        <v>2839.5</v>
      </c>
    </row>
    <row r="76" spans="1:9" ht="28.8" x14ac:dyDescent="0.3">
      <c r="A76" s="2">
        <v>45890</v>
      </c>
      <c r="B76" s="1" t="s">
        <v>32</v>
      </c>
      <c r="C76" t="s">
        <v>33</v>
      </c>
      <c r="D76" t="s">
        <v>34</v>
      </c>
      <c r="E76" t="s">
        <v>31</v>
      </c>
      <c r="F76">
        <v>28464.9</v>
      </c>
      <c r="G76" t="s">
        <v>12</v>
      </c>
      <c r="H76">
        <v>15000</v>
      </c>
      <c r="I76">
        <v>2846.4900000000002</v>
      </c>
    </row>
    <row r="77" spans="1:9" ht="28.8" x14ac:dyDescent="0.3">
      <c r="A77" s="2">
        <v>45890</v>
      </c>
      <c r="B77" s="1" t="s">
        <v>35</v>
      </c>
      <c r="C77" t="s">
        <v>36</v>
      </c>
      <c r="D77" t="s">
        <v>37</v>
      </c>
      <c r="E77" t="s">
        <v>31</v>
      </c>
      <c r="F77">
        <v>28761.599999999999</v>
      </c>
      <c r="G77" t="s">
        <v>12</v>
      </c>
      <c r="H77">
        <v>15000</v>
      </c>
      <c r="I77">
        <v>2876.16</v>
      </c>
    </row>
    <row r="78" spans="1:9" ht="28.8" x14ac:dyDescent="0.3">
      <c r="A78" s="2">
        <v>45890</v>
      </c>
      <c r="B78" s="1" t="s">
        <v>71</v>
      </c>
      <c r="C78" t="s">
        <v>72</v>
      </c>
      <c r="D78" t="s">
        <v>73</v>
      </c>
      <c r="E78" t="s">
        <v>31</v>
      </c>
      <c r="F78">
        <v>31053.4</v>
      </c>
      <c r="G78" t="s">
        <v>9</v>
      </c>
      <c r="H78">
        <v>15000</v>
      </c>
      <c r="I78">
        <v>3105.34</v>
      </c>
    </row>
    <row r="79" spans="1:9" ht="28.8" x14ac:dyDescent="0.3">
      <c r="A79" s="2">
        <v>45890</v>
      </c>
      <c r="B79" s="1" t="s">
        <v>38</v>
      </c>
      <c r="C79" t="s">
        <v>39</v>
      </c>
      <c r="D79" t="s">
        <v>40</v>
      </c>
      <c r="E79" t="s">
        <v>31</v>
      </c>
      <c r="F79">
        <v>31186.6</v>
      </c>
      <c r="G79" t="s">
        <v>9</v>
      </c>
      <c r="H79">
        <v>15000</v>
      </c>
      <c r="I79">
        <v>3118.66</v>
      </c>
    </row>
    <row r="80" spans="1:9" ht="28.8" x14ac:dyDescent="0.3">
      <c r="A80" s="2">
        <v>45890</v>
      </c>
      <c r="B80" s="1" t="s">
        <v>28</v>
      </c>
      <c r="C80" t="s">
        <v>29</v>
      </c>
      <c r="D80" t="s">
        <v>30</v>
      </c>
      <c r="E80" t="s">
        <v>31</v>
      </c>
      <c r="F80">
        <v>31999.200000000001</v>
      </c>
      <c r="G80" t="s">
        <v>10</v>
      </c>
      <c r="H80">
        <v>15000</v>
      </c>
      <c r="I80">
        <v>3199.92</v>
      </c>
    </row>
    <row r="81" spans="1:9" ht="28.8" x14ac:dyDescent="0.3">
      <c r="A81" s="2">
        <v>45890</v>
      </c>
      <c r="B81" s="1" t="s">
        <v>28</v>
      </c>
      <c r="C81" t="s">
        <v>29</v>
      </c>
      <c r="D81" t="s">
        <v>30</v>
      </c>
      <c r="E81" t="s">
        <v>31</v>
      </c>
      <c r="F81">
        <v>32282.799999999999</v>
      </c>
      <c r="G81" t="s">
        <v>10</v>
      </c>
      <c r="H81">
        <v>15000</v>
      </c>
      <c r="I81">
        <v>3228.28</v>
      </c>
    </row>
    <row r="82" spans="1:9" ht="28.8" x14ac:dyDescent="0.3">
      <c r="A82" s="2">
        <v>45890</v>
      </c>
      <c r="B82" s="1" t="s">
        <v>71</v>
      </c>
      <c r="C82" t="s">
        <v>72</v>
      </c>
      <c r="D82" t="s">
        <v>73</v>
      </c>
      <c r="E82" t="s">
        <v>31</v>
      </c>
      <c r="F82">
        <v>32524.1</v>
      </c>
      <c r="G82" t="s">
        <v>9</v>
      </c>
      <c r="H82">
        <v>15000</v>
      </c>
      <c r="I82">
        <v>3252.41</v>
      </c>
    </row>
    <row r="83" spans="1:9" ht="28.8" x14ac:dyDescent="0.3">
      <c r="A83" s="2">
        <v>45921</v>
      </c>
      <c r="B83" s="1" t="s">
        <v>28</v>
      </c>
      <c r="C83" t="s">
        <v>29</v>
      </c>
      <c r="D83" t="s">
        <v>30</v>
      </c>
      <c r="E83" t="s">
        <v>31</v>
      </c>
      <c r="F83">
        <v>34353.5</v>
      </c>
      <c r="G83" t="s">
        <v>10</v>
      </c>
      <c r="H83">
        <v>15000</v>
      </c>
      <c r="I83">
        <v>3435.3500000000004</v>
      </c>
    </row>
    <row r="84" spans="1:9" ht="28.8" x14ac:dyDescent="0.3">
      <c r="A84" s="2">
        <v>45921</v>
      </c>
      <c r="B84" s="1" t="s">
        <v>28</v>
      </c>
      <c r="C84" t="s">
        <v>29</v>
      </c>
      <c r="D84" t="s">
        <v>30</v>
      </c>
      <c r="E84" t="s">
        <v>31</v>
      </c>
      <c r="F84">
        <v>35153.800000000003</v>
      </c>
      <c r="G84" t="s">
        <v>9</v>
      </c>
      <c r="H84">
        <v>15000</v>
      </c>
      <c r="I84">
        <v>3515.3800000000006</v>
      </c>
    </row>
    <row r="85" spans="1:9" ht="28.8" x14ac:dyDescent="0.3">
      <c r="A85" s="2">
        <v>45921</v>
      </c>
      <c r="B85" s="1" t="s">
        <v>28</v>
      </c>
      <c r="C85" t="s">
        <v>29</v>
      </c>
      <c r="D85" t="s">
        <v>30</v>
      </c>
      <c r="E85" t="s">
        <v>31</v>
      </c>
      <c r="F85">
        <v>35820</v>
      </c>
      <c r="G85" t="s">
        <v>12</v>
      </c>
      <c r="H85">
        <v>15000</v>
      </c>
      <c r="I85">
        <v>3582</v>
      </c>
    </row>
    <row r="86" spans="1:9" ht="28.8" x14ac:dyDescent="0.3">
      <c r="A86" s="2">
        <v>45921</v>
      </c>
      <c r="B86" s="1" t="s">
        <v>38</v>
      </c>
      <c r="C86" t="s">
        <v>39</v>
      </c>
      <c r="D86" t="s">
        <v>40</v>
      </c>
      <c r="E86" t="s">
        <v>31</v>
      </c>
      <c r="F86">
        <v>37520</v>
      </c>
      <c r="G86" t="s">
        <v>10</v>
      </c>
      <c r="H86">
        <v>15000</v>
      </c>
      <c r="I86">
        <v>3752</v>
      </c>
    </row>
    <row r="87" spans="1:9" ht="28.8" x14ac:dyDescent="0.3">
      <c r="A87" s="2">
        <v>45921</v>
      </c>
      <c r="B87" s="1" t="s">
        <v>38</v>
      </c>
      <c r="C87" t="s">
        <v>39</v>
      </c>
      <c r="D87" t="s">
        <v>40</v>
      </c>
      <c r="E87" t="s">
        <v>31</v>
      </c>
      <c r="F87">
        <v>37544.800000000003</v>
      </c>
      <c r="G87" t="s">
        <v>9</v>
      </c>
      <c r="H87">
        <v>15000</v>
      </c>
      <c r="I87">
        <v>3754.4800000000005</v>
      </c>
    </row>
    <row r="88" spans="1:9" ht="28.8" x14ac:dyDescent="0.3">
      <c r="A88" s="2">
        <v>45951</v>
      </c>
      <c r="B88" s="1" t="s">
        <v>32</v>
      </c>
      <c r="C88" t="s">
        <v>33</v>
      </c>
      <c r="D88" t="s">
        <v>34</v>
      </c>
      <c r="E88" t="s">
        <v>31</v>
      </c>
      <c r="F88">
        <v>40224.800000000003</v>
      </c>
      <c r="G88" t="s">
        <v>9</v>
      </c>
      <c r="H88">
        <v>15000</v>
      </c>
      <c r="I88">
        <v>4022.4800000000005</v>
      </c>
    </row>
    <row r="89" spans="1:9" ht="28.8" x14ac:dyDescent="0.3">
      <c r="A89" s="2">
        <v>45951</v>
      </c>
      <c r="B89" s="1" t="s">
        <v>32</v>
      </c>
      <c r="C89" t="s">
        <v>33</v>
      </c>
      <c r="D89" t="s">
        <v>34</v>
      </c>
      <c r="E89" t="s">
        <v>31</v>
      </c>
      <c r="F89">
        <v>40831</v>
      </c>
      <c r="G89" t="s">
        <v>9</v>
      </c>
      <c r="H89">
        <v>15000</v>
      </c>
      <c r="I89">
        <v>4083.1000000000004</v>
      </c>
    </row>
    <row r="90" spans="1:9" ht="28.8" x14ac:dyDescent="0.3">
      <c r="A90" s="2">
        <v>45951</v>
      </c>
      <c r="B90" s="1" t="s">
        <v>38</v>
      </c>
      <c r="C90" t="s">
        <v>39</v>
      </c>
      <c r="D90" t="s">
        <v>40</v>
      </c>
      <c r="E90" t="s">
        <v>31</v>
      </c>
      <c r="F90">
        <v>41215.300000000003</v>
      </c>
      <c r="G90" t="s">
        <v>12</v>
      </c>
      <c r="H90">
        <v>15000</v>
      </c>
      <c r="I90">
        <v>4121.5300000000007</v>
      </c>
    </row>
    <row r="91" spans="1:9" ht="28.8" x14ac:dyDescent="0.3">
      <c r="A91" s="2">
        <v>45951</v>
      </c>
      <c r="B91" s="1" t="s">
        <v>71</v>
      </c>
      <c r="C91" t="s">
        <v>72</v>
      </c>
      <c r="D91" t="s">
        <v>73</v>
      </c>
      <c r="E91" t="s">
        <v>31</v>
      </c>
      <c r="F91">
        <v>41826.400000000001</v>
      </c>
      <c r="G91" t="s">
        <v>12</v>
      </c>
      <c r="H91">
        <v>15000</v>
      </c>
      <c r="I91">
        <v>4182.6400000000003</v>
      </c>
    </row>
    <row r="92" spans="1:9" ht="28.8" x14ac:dyDescent="0.3">
      <c r="A92" s="2">
        <v>45951</v>
      </c>
      <c r="B92" s="1" t="s">
        <v>32</v>
      </c>
      <c r="C92" t="s">
        <v>33</v>
      </c>
      <c r="D92" t="s">
        <v>34</v>
      </c>
      <c r="E92" t="s">
        <v>31</v>
      </c>
      <c r="F92">
        <v>41932.800000000003</v>
      </c>
      <c r="G92" t="s">
        <v>9</v>
      </c>
      <c r="H92">
        <v>15000</v>
      </c>
      <c r="I92">
        <v>4193.2800000000007</v>
      </c>
    </row>
    <row r="93" spans="1:9" ht="28.8" x14ac:dyDescent="0.3">
      <c r="A93" s="2">
        <v>45951</v>
      </c>
      <c r="B93" s="1" t="s">
        <v>28</v>
      </c>
      <c r="C93" t="s">
        <v>29</v>
      </c>
      <c r="D93" t="s">
        <v>30</v>
      </c>
      <c r="E93" t="s">
        <v>31</v>
      </c>
      <c r="F93">
        <v>42427</v>
      </c>
      <c r="G93" t="s">
        <v>10</v>
      </c>
      <c r="H93">
        <v>15000</v>
      </c>
      <c r="I93">
        <v>4242.7</v>
      </c>
    </row>
    <row r="94" spans="1:9" ht="28.8" x14ac:dyDescent="0.3">
      <c r="A94" s="2">
        <v>45951</v>
      </c>
      <c r="B94" s="1" t="s">
        <v>35</v>
      </c>
      <c r="C94" t="s">
        <v>36</v>
      </c>
      <c r="D94" t="s">
        <v>37</v>
      </c>
      <c r="E94" t="s">
        <v>31</v>
      </c>
      <c r="F94">
        <v>42690.400000000001</v>
      </c>
      <c r="G94" t="s">
        <v>12</v>
      </c>
      <c r="H94">
        <v>15000</v>
      </c>
      <c r="I94">
        <v>4269.04</v>
      </c>
    </row>
    <row r="95" spans="1:9" ht="28.8" x14ac:dyDescent="0.3">
      <c r="A95" s="2">
        <v>45951</v>
      </c>
      <c r="B95" s="1" t="s">
        <v>35</v>
      </c>
      <c r="C95" t="s">
        <v>36</v>
      </c>
      <c r="D95" t="s">
        <v>37</v>
      </c>
      <c r="E95" t="s">
        <v>31</v>
      </c>
      <c r="F95">
        <v>43591.8</v>
      </c>
      <c r="G95" t="s">
        <v>9</v>
      </c>
      <c r="H95">
        <v>15000</v>
      </c>
      <c r="I95">
        <v>4359.18</v>
      </c>
    </row>
    <row r="96" spans="1:9" ht="28.8" x14ac:dyDescent="0.3">
      <c r="A96" s="2">
        <v>45951</v>
      </c>
      <c r="B96" s="1" t="s">
        <v>32</v>
      </c>
      <c r="C96" t="s">
        <v>33</v>
      </c>
      <c r="D96" t="s">
        <v>34</v>
      </c>
      <c r="E96" t="s">
        <v>31</v>
      </c>
      <c r="F96">
        <v>43974</v>
      </c>
      <c r="G96" t="s">
        <v>9</v>
      </c>
      <c r="H96">
        <v>15000</v>
      </c>
      <c r="I96">
        <v>4397.4000000000005</v>
      </c>
    </row>
    <row r="97" spans="1:9" ht="28.8" x14ac:dyDescent="0.3">
      <c r="A97" s="2">
        <v>45951</v>
      </c>
      <c r="B97" s="1" t="s">
        <v>71</v>
      </c>
      <c r="C97" t="s">
        <v>72</v>
      </c>
      <c r="D97" t="s">
        <v>73</v>
      </c>
      <c r="E97" t="s">
        <v>31</v>
      </c>
      <c r="F97">
        <v>47510.400000000001</v>
      </c>
      <c r="G97" t="s">
        <v>10</v>
      </c>
      <c r="H97">
        <v>15000</v>
      </c>
      <c r="I97">
        <v>4751.04</v>
      </c>
    </row>
    <row r="98" spans="1:9" ht="28.8" x14ac:dyDescent="0.3">
      <c r="A98" s="2">
        <v>45951</v>
      </c>
      <c r="B98" s="1" t="s">
        <v>71</v>
      </c>
      <c r="C98" t="s">
        <v>72</v>
      </c>
      <c r="D98" t="s">
        <v>73</v>
      </c>
      <c r="E98" t="s">
        <v>31</v>
      </c>
      <c r="F98">
        <v>49056</v>
      </c>
      <c r="G98" t="s">
        <v>9</v>
      </c>
      <c r="H98">
        <v>15000</v>
      </c>
      <c r="I98">
        <v>4905.6000000000004</v>
      </c>
    </row>
  </sheetData>
  <mergeCells count="1">
    <mergeCell ref="A1:O1"/>
  </mergeCells>
  <conditionalFormatting sqref="F3:F98">
    <cfRule type="top10" dxfId="3" priority="1" rank="5"/>
    <cfRule type="top10" priority="2" rank="5"/>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4FC6-E2BD-4618-93F4-C2748569579E}">
  <dimension ref="A1:Q101"/>
  <sheetViews>
    <sheetView tabSelected="1" zoomScaleNormal="100" workbookViewId="0">
      <pane ySplit="2" topLeftCell="A3" activePane="bottomLeft" state="frozen"/>
      <selection pane="bottomLeft" activeCell="Q13" sqref="Q13:T13"/>
    </sheetView>
  </sheetViews>
  <sheetFormatPr defaultRowHeight="14.4" x14ac:dyDescent="0.3"/>
  <cols>
    <col min="2" max="2" width="17.33203125" customWidth="1"/>
    <col min="11" max="11" width="11.109375" bestFit="1" customWidth="1"/>
    <col min="12" max="12" width="13" customWidth="1"/>
    <col min="14" max="14" width="13.21875" customWidth="1"/>
    <col min="17" max="17" width="11.109375" bestFit="1" customWidth="1"/>
  </cols>
  <sheetData>
    <row r="1" spans="1:17" ht="22.8" customHeight="1" x14ac:dyDescent="0.3">
      <c r="A1" s="27" t="s">
        <v>81</v>
      </c>
      <c r="B1" s="27"/>
      <c r="C1" s="27"/>
      <c r="D1" s="27"/>
      <c r="E1" s="27"/>
      <c r="F1" s="27"/>
      <c r="G1" s="27"/>
      <c r="H1" s="27"/>
      <c r="I1" s="27"/>
      <c r="J1" s="27"/>
      <c r="K1" s="27"/>
      <c r="L1" s="27"/>
      <c r="M1" s="27"/>
      <c r="N1" s="27"/>
      <c r="O1" s="20"/>
    </row>
    <row r="2" spans="1:17" ht="28.8" x14ac:dyDescent="0.3">
      <c r="A2" s="19" t="s">
        <v>0</v>
      </c>
      <c r="B2" s="18" t="s">
        <v>1</v>
      </c>
      <c r="C2" s="18" t="s">
        <v>2</v>
      </c>
      <c r="D2" s="18" t="s">
        <v>3</v>
      </c>
      <c r="E2" s="18" t="s">
        <v>4</v>
      </c>
      <c r="F2" s="18" t="s">
        <v>5</v>
      </c>
      <c r="G2" s="18" t="s">
        <v>6</v>
      </c>
      <c r="H2" s="19" t="s">
        <v>76</v>
      </c>
      <c r="I2" s="18" t="s">
        <v>77</v>
      </c>
      <c r="J2" s="18" t="s">
        <v>41</v>
      </c>
      <c r="K2" s="18" t="s">
        <v>45</v>
      </c>
      <c r="L2" s="18" t="s">
        <v>48</v>
      </c>
      <c r="M2" s="18" t="s">
        <v>51</v>
      </c>
      <c r="N2" s="18" t="s">
        <v>54</v>
      </c>
      <c r="O2" s="21"/>
    </row>
    <row r="3" spans="1:17" x14ac:dyDescent="0.3">
      <c r="A3" s="2">
        <v>45678</v>
      </c>
      <c r="B3" s="1" t="s">
        <v>41</v>
      </c>
      <c r="C3" t="s">
        <v>42</v>
      </c>
      <c r="D3" t="s">
        <v>43</v>
      </c>
      <c r="E3" t="s">
        <v>44</v>
      </c>
      <c r="F3">
        <v>3008.4</v>
      </c>
      <c r="G3" t="s">
        <v>10</v>
      </c>
      <c r="H3">
        <v>15000</v>
      </c>
      <c r="I3">
        <v>0</v>
      </c>
      <c r="J3">
        <f>SUMIF($B$3:$B$100, J$2, $F$3:$F$100)</f>
        <v>346511.5</v>
      </c>
      <c r="K3">
        <f>SUMIF($B$3:$B$100, K$2, $F$3:$F$100)</f>
        <v>482889</v>
      </c>
      <c r="L3">
        <f>SUMIF($B$3:$B$100, L$2, $F$3:$F$100)</f>
        <v>331096.8</v>
      </c>
      <c r="M3">
        <f>SUMIF($B$3:$B$100, M$2, $F$3:$F$100)</f>
        <v>285253.09999999998</v>
      </c>
      <c r="N3">
        <f>SUMIF($B$3:$B$100, N$2, $F$3:$F$100)</f>
        <v>323152.3</v>
      </c>
    </row>
    <row r="4" spans="1:17" x14ac:dyDescent="0.3">
      <c r="A4" s="2">
        <v>45678</v>
      </c>
      <c r="B4" s="1" t="s">
        <v>45</v>
      </c>
      <c r="C4" t="s">
        <v>46</v>
      </c>
      <c r="D4" t="s">
        <v>47</v>
      </c>
      <c r="E4" t="s">
        <v>44</v>
      </c>
      <c r="F4">
        <v>3386.6</v>
      </c>
      <c r="G4" t="s">
        <v>10</v>
      </c>
      <c r="H4">
        <v>15000</v>
      </c>
      <c r="I4">
        <v>0</v>
      </c>
    </row>
    <row r="5" spans="1:17" x14ac:dyDescent="0.3">
      <c r="A5" s="2">
        <v>45678</v>
      </c>
      <c r="B5" s="1" t="s">
        <v>45</v>
      </c>
      <c r="C5" t="s">
        <v>46</v>
      </c>
      <c r="D5" t="s">
        <v>47</v>
      </c>
      <c r="E5" t="s">
        <v>44</v>
      </c>
      <c r="F5">
        <v>3596</v>
      </c>
      <c r="G5" t="s">
        <v>10</v>
      </c>
      <c r="H5">
        <v>15000</v>
      </c>
      <c r="I5">
        <v>0</v>
      </c>
    </row>
    <row r="6" spans="1:17" x14ac:dyDescent="0.3">
      <c r="A6" s="2">
        <v>45678</v>
      </c>
      <c r="B6" s="1" t="s">
        <v>48</v>
      </c>
      <c r="C6" t="s">
        <v>49</v>
      </c>
      <c r="D6" t="s">
        <v>50</v>
      </c>
      <c r="E6" t="s">
        <v>44</v>
      </c>
      <c r="F6">
        <v>4028</v>
      </c>
      <c r="G6" t="s">
        <v>9</v>
      </c>
      <c r="H6">
        <v>15000</v>
      </c>
      <c r="I6">
        <v>0</v>
      </c>
    </row>
    <row r="7" spans="1:17" x14ac:dyDescent="0.3">
      <c r="A7" s="2">
        <v>45678</v>
      </c>
      <c r="B7" s="1" t="s">
        <v>51</v>
      </c>
      <c r="C7" t="s">
        <v>52</v>
      </c>
      <c r="D7" t="s">
        <v>53</v>
      </c>
      <c r="E7" t="s">
        <v>44</v>
      </c>
      <c r="F7">
        <v>4201.6000000000004</v>
      </c>
      <c r="G7" t="s">
        <v>10</v>
      </c>
      <c r="H7">
        <v>15000</v>
      </c>
      <c r="I7">
        <v>0</v>
      </c>
    </row>
    <row r="8" spans="1:17" x14ac:dyDescent="0.3">
      <c r="A8" s="2">
        <v>45678</v>
      </c>
      <c r="B8" s="1" t="s">
        <v>41</v>
      </c>
      <c r="C8" t="s">
        <v>42</v>
      </c>
      <c r="D8" t="s">
        <v>43</v>
      </c>
      <c r="E8" t="s">
        <v>44</v>
      </c>
      <c r="F8">
        <v>5532.8</v>
      </c>
      <c r="G8" t="s">
        <v>10</v>
      </c>
      <c r="H8">
        <v>15000</v>
      </c>
      <c r="I8">
        <v>0</v>
      </c>
    </row>
    <row r="9" spans="1:17" x14ac:dyDescent="0.3">
      <c r="A9" s="2">
        <v>45678</v>
      </c>
      <c r="B9" s="1" t="s">
        <v>54</v>
      </c>
      <c r="C9" t="s">
        <v>55</v>
      </c>
      <c r="D9" t="s">
        <v>56</v>
      </c>
      <c r="E9" t="s">
        <v>44</v>
      </c>
      <c r="F9">
        <v>6300</v>
      </c>
      <c r="G9" t="s">
        <v>12</v>
      </c>
      <c r="H9">
        <v>15000</v>
      </c>
      <c r="I9">
        <v>0</v>
      </c>
    </row>
    <row r="10" spans="1:17" x14ac:dyDescent="0.3">
      <c r="A10" s="2">
        <v>45682</v>
      </c>
      <c r="B10" s="1" t="s">
        <v>45</v>
      </c>
      <c r="C10" t="s">
        <v>46</v>
      </c>
      <c r="D10" t="s">
        <v>47</v>
      </c>
      <c r="E10" t="s">
        <v>44</v>
      </c>
      <c r="F10">
        <v>6544.8</v>
      </c>
      <c r="G10" t="s">
        <v>9</v>
      </c>
      <c r="H10">
        <v>15000</v>
      </c>
      <c r="I10">
        <v>0</v>
      </c>
    </row>
    <row r="11" spans="1:17" x14ac:dyDescent="0.3">
      <c r="A11" s="2">
        <v>45709</v>
      </c>
      <c r="B11" s="1" t="s">
        <v>45</v>
      </c>
      <c r="C11" t="s">
        <v>46</v>
      </c>
      <c r="D11" t="s">
        <v>47</v>
      </c>
      <c r="E11" t="s">
        <v>44</v>
      </c>
      <c r="F11">
        <v>6804</v>
      </c>
      <c r="G11" t="s">
        <v>9</v>
      </c>
      <c r="H11">
        <v>15000</v>
      </c>
      <c r="I11">
        <v>0</v>
      </c>
    </row>
    <row r="12" spans="1:17" x14ac:dyDescent="0.3">
      <c r="A12" s="2">
        <v>45709</v>
      </c>
      <c r="B12" s="1" t="s">
        <v>48</v>
      </c>
      <c r="C12" t="s">
        <v>49</v>
      </c>
      <c r="D12" t="s">
        <v>50</v>
      </c>
      <c r="E12" t="s">
        <v>44</v>
      </c>
      <c r="F12">
        <v>6872.8</v>
      </c>
      <c r="G12" t="s">
        <v>9</v>
      </c>
      <c r="H12">
        <v>15000</v>
      </c>
      <c r="I12">
        <v>0</v>
      </c>
    </row>
    <row r="13" spans="1:17" x14ac:dyDescent="0.3">
      <c r="A13" s="2">
        <v>45709</v>
      </c>
      <c r="B13" s="1" t="s">
        <v>54</v>
      </c>
      <c r="C13" t="s">
        <v>55</v>
      </c>
      <c r="D13" t="s">
        <v>56</v>
      </c>
      <c r="E13" t="s">
        <v>44</v>
      </c>
      <c r="F13">
        <v>6960</v>
      </c>
      <c r="G13" t="s">
        <v>12</v>
      </c>
      <c r="H13">
        <v>15000</v>
      </c>
      <c r="I13">
        <v>0</v>
      </c>
      <c r="Q13" s="6"/>
    </row>
    <row r="14" spans="1:17" x14ac:dyDescent="0.3">
      <c r="A14" s="2">
        <v>45709</v>
      </c>
      <c r="B14" s="1" t="s">
        <v>48</v>
      </c>
      <c r="C14" t="s">
        <v>49</v>
      </c>
      <c r="D14" t="s">
        <v>50</v>
      </c>
      <c r="E14" t="s">
        <v>44</v>
      </c>
      <c r="F14">
        <v>7008</v>
      </c>
      <c r="G14" t="s">
        <v>12</v>
      </c>
      <c r="H14">
        <v>15000</v>
      </c>
      <c r="I14">
        <v>0</v>
      </c>
    </row>
    <row r="15" spans="1:17" x14ac:dyDescent="0.3">
      <c r="A15" s="2">
        <v>45709</v>
      </c>
      <c r="B15" s="1" t="s">
        <v>51</v>
      </c>
      <c r="C15" t="s">
        <v>52</v>
      </c>
      <c r="D15" t="s">
        <v>53</v>
      </c>
      <c r="E15" t="s">
        <v>44</v>
      </c>
      <c r="F15">
        <v>7221.6</v>
      </c>
      <c r="G15" t="s">
        <v>12</v>
      </c>
      <c r="H15">
        <v>15000</v>
      </c>
      <c r="I15">
        <v>0</v>
      </c>
    </row>
    <row r="16" spans="1:17" x14ac:dyDescent="0.3">
      <c r="A16" s="2">
        <v>45737</v>
      </c>
      <c r="B16" s="1" t="s">
        <v>45</v>
      </c>
      <c r="C16" t="s">
        <v>46</v>
      </c>
      <c r="D16" t="s">
        <v>47</v>
      </c>
      <c r="E16" t="s">
        <v>44</v>
      </c>
      <c r="F16">
        <v>8082.8</v>
      </c>
      <c r="G16" t="s">
        <v>9</v>
      </c>
      <c r="H16">
        <v>15000</v>
      </c>
      <c r="I16">
        <v>0</v>
      </c>
    </row>
    <row r="17" spans="1:9" x14ac:dyDescent="0.3">
      <c r="A17" s="2">
        <v>45737</v>
      </c>
      <c r="B17" s="1" t="s">
        <v>41</v>
      </c>
      <c r="C17" t="s">
        <v>42</v>
      </c>
      <c r="D17" t="s">
        <v>43</v>
      </c>
      <c r="E17" t="s">
        <v>44</v>
      </c>
      <c r="F17">
        <v>8099.7</v>
      </c>
      <c r="G17" t="s">
        <v>9</v>
      </c>
      <c r="H17">
        <v>15000</v>
      </c>
      <c r="I17">
        <v>0</v>
      </c>
    </row>
    <row r="18" spans="1:9" x14ac:dyDescent="0.3">
      <c r="A18" s="2">
        <v>45737</v>
      </c>
      <c r="B18" s="1" t="s">
        <v>51</v>
      </c>
      <c r="C18" t="s">
        <v>52</v>
      </c>
      <c r="D18" t="s">
        <v>53</v>
      </c>
      <c r="E18" t="s">
        <v>44</v>
      </c>
      <c r="F18">
        <v>8524.4</v>
      </c>
      <c r="G18" t="s">
        <v>12</v>
      </c>
      <c r="H18">
        <v>15000</v>
      </c>
      <c r="I18">
        <v>0</v>
      </c>
    </row>
    <row r="19" spans="1:9" x14ac:dyDescent="0.3">
      <c r="A19" s="2">
        <v>45737</v>
      </c>
      <c r="B19" s="1" t="s">
        <v>45</v>
      </c>
      <c r="C19" t="s">
        <v>46</v>
      </c>
      <c r="D19" t="s">
        <v>47</v>
      </c>
      <c r="E19" t="s">
        <v>44</v>
      </c>
      <c r="F19">
        <v>8772</v>
      </c>
      <c r="G19" t="s">
        <v>12</v>
      </c>
      <c r="H19">
        <v>15000</v>
      </c>
      <c r="I19">
        <v>0</v>
      </c>
    </row>
    <row r="20" spans="1:9" x14ac:dyDescent="0.3">
      <c r="A20" s="2">
        <v>45737</v>
      </c>
      <c r="B20" s="1" t="s">
        <v>45</v>
      </c>
      <c r="C20" t="s">
        <v>46</v>
      </c>
      <c r="D20" t="s">
        <v>47</v>
      </c>
      <c r="E20" t="s">
        <v>44</v>
      </c>
      <c r="F20">
        <v>8827</v>
      </c>
      <c r="G20" t="s">
        <v>12</v>
      </c>
      <c r="H20">
        <v>15000</v>
      </c>
      <c r="I20">
        <v>0</v>
      </c>
    </row>
    <row r="21" spans="1:9" x14ac:dyDescent="0.3">
      <c r="A21" s="2">
        <v>45737</v>
      </c>
      <c r="B21" s="1" t="s">
        <v>45</v>
      </c>
      <c r="C21" t="s">
        <v>46</v>
      </c>
      <c r="D21" t="s">
        <v>47</v>
      </c>
      <c r="E21" t="s">
        <v>44</v>
      </c>
      <c r="F21">
        <v>9006</v>
      </c>
      <c r="G21" t="s">
        <v>12</v>
      </c>
      <c r="H21">
        <v>15000</v>
      </c>
      <c r="I21">
        <v>0</v>
      </c>
    </row>
    <row r="22" spans="1:9" x14ac:dyDescent="0.3">
      <c r="A22" s="2">
        <v>45737</v>
      </c>
      <c r="B22" s="1" t="s">
        <v>54</v>
      </c>
      <c r="C22" t="s">
        <v>55</v>
      </c>
      <c r="D22" t="s">
        <v>56</v>
      </c>
      <c r="E22" t="s">
        <v>44</v>
      </c>
      <c r="F22">
        <v>9405.2999999999993</v>
      </c>
      <c r="G22" t="s">
        <v>10</v>
      </c>
      <c r="H22">
        <v>15000</v>
      </c>
      <c r="I22">
        <v>0</v>
      </c>
    </row>
    <row r="23" spans="1:9" x14ac:dyDescent="0.3">
      <c r="A23" s="2">
        <v>45737</v>
      </c>
      <c r="B23" s="1" t="s">
        <v>48</v>
      </c>
      <c r="C23" t="s">
        <v>49</v>
      </c>
      <c r="D23" t="s">
        <v>50</v>
      </c>
      <c r="E23" t="s">
        <v>44</v>
      </c>
      <c r="F23">
        <v>9627.9</v>
      </c>
      <c r="G23" t="s">
        <v>9</v>
      </c>
      <c r="H23">
        <v>15000</v>
      </c>
      <c r="I23">
        <v>0</v>
      </c>
    </row>
    <row r="24" spans="1:9" x14ac:dyDescent="0.3">
      <c r="A24" s="2">
        <v>45737</v>
      </c>
      <c r="B24" s="1" t="s">
        <v>48</v>
      </c>
      <c r="C24" t="s">
        <v>49</v>
      </c>
      <c r="D24" t="s">
        <v>50</v>
      </c>
      <c r="E24" t="s">
        <v>44</v>
      </c>
      <c r="F24">
        <v>9704.2000000000007</v>
      </c>
      <c r="G24" t="s">
        <v>12</v>
      </c>
      <c r="H24">
        <v>15000</v>
      </c>
      <c r="I24">
        <v>0</v>
      </c>
    </row>
    <row r="25" spans="1:9" x14ac:dyDescent="0.3">
      <c r="A25" s="2">
        <v>45737</v>
      </c>
      <c r="B25" s="1" t="s">
        <v>51</v>
      </c>
      <c r="C25" t="s">
        <v>52</v>
      </c>
      <c r="D25" t="s">
        <v>53</v>
      </c>
      <c r="E25" t="s">
        <v>44</v>
      </c>
      <c r="F25">
        <v>9826.4</v>
      </c>
      <c r="G25" t="s">
        <v>12</v>
      </c>
      <c r="H25">
        <v>15000</v>
      </c>
      <c r="I25">
        <v>0</v>
      </c>
    </row>
    <row r="26" spans="1:9" x14ac:dyDescent="0.3">
      <c r="A26" s="2">
        <v>45737</v>
      </c>
      <c r="B26" s="1" t="s">
        <v>54</v>
      </c>
      <c r="C26" t="s">
        <v>55</v>
      </c>
      <c r="D26" t="s">
        <v>56</v>
      </c>
      <c r="E26" t="s">
        <v>44</v>
      </c>
      <c r="F26">
        <v>9836.7999999999993</v>
      </c>
      <c r="G26" t="s">
        <v>9</v>
      </c>
      <c r="H26">
        <v>15000</v>
      </c>
      <c r="I26">
        <v>0</v>
      </c>
    </row>
    <row r="27" spans="1:9" x14ac:dyDescent="0.3">
      <c r="A27" s="2">
        <v>45737</v>
      </c>
      <c r="B27" s="1" t="s">
        <v>45</v>
      </c>
      <c r="C27" t="s">
        <v>46</v>
      </c>
      <c r="D27" t="s">
        <v>47</v>
      </c>
      <c r="E27" t="s">
        <v>44</v>
      </c>
      <c r="F27">
        <v>9840</v>
      </c>
      <c r="G27" t="s">
        <v>10</v>
      </c>
      <c r="H27">
        <v>15000</v>
      </c>
      <c r="I27">
        <v>0</v>
      </c>
    </row>
    <row r="28" spans="1:9" x14ac:dyDescent="0.3">
      <c r="A28" s="2">
        <v>45737</v>
      </c>
      <c r="B28" s="1" t="s">
        <v>45</v>
      </c>
      <c r="C28" t="s">
        <v>46</v>
      </c>
      <c r="D28" t="s">
        <v>47</v>
      </c>
      <c r="E28" t="s">
        <v>44</v>
      </c>
      <c r="F28">
        <v>10032</v>
      </c>
      <c r="G28" t="s">
        <v>9</v>
      </c>
      <c r="H28">
        <v>15000</v>
      </c>
      <c r="I28">
        <v>0</v>
      </c>
    </row>
    <row r="29" spans="1:9" x14ac:dyDescent="0.3">
      <c r="A29" s="2">
        <v>45741</v>
      </c>
      <c r="B29" s="1" t="s">
        <v>45</v>
      </c>
      <c r="C29" t="s">
        <v>46</v>
      </c>
      <c r="D29" t="s">
        <v>47</v>
      </c>
      <c r="E29" t="s">
        <v>44</v>
      </c>
      <c r="F29">
        <v>10200</v>
      </c>
      <c r="G29" t="s">
        <v>12</v>
      </c>
      <c r="H29">
        <v>15000</v>
      </c>
      <c r="I29">
        <v>0</v>
      </c>
    </row>
    <row r="30" spans="1:9" x14ac:dyDescent="0.3">
      <c r="A30" s="2">
        <v>45741</v>
      </c>
      <c r="B30" s="1" t="s">
        <v>51</v>
      </c>
      <c r="C30" t="s">
        <v>52</v>
      </c>
      <c r="D30" t="s">
        <v>53</v>
      </c>
      <c r="E30" t="s">
        <v>44</v>
      </c>
      <c r="F30">
        <v>10218</v>
      </c>
      <c r="G30" t="s">
        <v>10</v>
      </c>
      <c r="H30">
        <v>15000</v>
      </c>
      <c r="I30">
        <v>0</v>
      </c>
    </row>
    <row r="31" spans="1:9" x14ac:dyDescent="0.3">
      <c r="A31" s="2">
        <v>45741</v>
      </c>
      <c r="B31" s="1" t="s">
        <v>51</v>
      </c>
      <c r="C31" t="s">
        <v>52</v>
      </c>
      <c r="D31" t="s">
        <v>53</v>
      </c>
      <c r="E31" t="s">
        <v>44</v>
      </c>
      <c r="F31">
        <v>10573.5</v>
      </c>
      <c r="G31" t="s">
        <v>9</v>
      </c>
      <c r="H31">
        <v>15000</v>
      </c>
      <c r="I31">
        <v>0</v>
      </c>
    </row>
    <row r="32" spans="1:9" x14ac:dyDescent="0.3">
      <c r="A32" s="2">
        <v>45741</v>
      </c>
      <c r="B32" s="1" t="s">
        <v>41</v>
      </c>
      <c r="C32" t="s">
        <v>42</v>
      </c>
      <c r="D32" t="s">
        <v>43</v>
      </c>
      <c r="E32" t="s">
        <v>44</v>
      </c>
      <c r="F32">
        <v>10903.2</v>
      </c>
      <c r="G32" t="s">
        <v>10</v>
      </c>
      <c r="H32">
        <v>15000</v>
      </c>
      <c r="I32">
        <v>0</v>
      </c>
    </row>
    <row r="33" spans="1:9" x14ac:dyDescent="0.3">
      <c r="A33" s="2">
        <v>45741</v>
      </c>
      <c r="B33" s="1" t="s">
        <v>54</v>
      </c>
      <c r="C33" t="s">
        <v>55</v>
      </c>
      <c r="D33" t="s">
        <v>56</v>
      </c>
      <c r="E33" t="s">
        <v>44</v>
      </c>
      <c r="F33">
        <v>10948</v>
      </c>
      <c r="G33" t="s">
        <v>9</v>
      </c>
      <c r="H33">
        <v>15000</v>
      </c>
      <c r="I33">
        <v>0</v>
      </c>
    </row>
    <row r="34" spans="1:9" x14ac:dyDescent="0.3">
      <c r="A34" s="2">
        <v>45741</v>
      </c>
      <c r="B34" s="1" t="s">
        <v>51</v>
      </c>
      <c r="C34" t="s">
        <v>52</v>
      </c>
      <c r="D34" t="s">
        <v>53</v>
      </c>
      <c r="E34" t="s">
        <v>44</v>
      </c>
      <c r="F34">
        <v>11166.3</v>
      </c>
      <c r="G34" t="s">
        <v>10</v>
      </c>
      <c r="H34">
        <v>15000</v>
      </c>
      <c r="I34">
        <v>0</v>
      </c>
    </row>
    <row r="35" spans="1:9" x14ac:dyDescent="0.3">
      <c r="A35" s="2">
        <v>45741</v>
      </c>
      <c r="B35" s="1" t="s">
        <v>45</v>
      </c>
      <c r="C35" t="s">
        <v>46</v>
      </c>
      <c r="D35" t="s">
        <v>47</v>
      </c>
      <c r="E35" t="s">
        <v>44</v>
      </c>
      <c r="F35">
        <v>11403</v>
      </c>
      <c r="G35" t="s">
        <v>10</v>
      </c>
      <c r="H35">
        <v>15000</v>
      </c>
      <c r="I35">
        <v>0</v>
      </c>
    </row>
    <row r="36" spans="1:9" x14ac:dyDescent="0.3">
      <c r="A36" s="2">
        <v>45741</v>
      </c>
      <c r="B36" s="1" t="s">
        <v>45</v>
      </c>
      <c r="C36" t="s">
        <v>46</v>
      </c>
      <c r="D36" t="s">
        <v>47</v>
      </c>
      <c r="E36" t="s">
        <v>44</v>
      </c>
      <c r="F36">
        <v>11554.4</v>
      </c>
      <c r="G36" t="s">
        <v>10</v>
      </c>
      <c r="H36">
        <v>15000</v>
      </c>
      <c r="I36">
        <v>0</v>
      </c>
    </row>
    <row r="37" spans="1:9" x14ac:dyDescent="0.3">
      <c r="A37" s="2">
        <v>45768</v>
      </c>
      <c r="B37" s="1" t="s">
        <v>41</v>
      </c>
      <c r="C37" t="s">
        <v>42</v>
      </c>
      <c r="D37" t="s">
        <v>43</v>
      </c>
      <c r="E37" t="s">
        <v>44</v>
      </c>
      <c r="F37">
        <v>12144</v>
      </c>
      <c r="G37" t="s">
        <v>10</v>
      </c>
      <c r="H37">
        <v>15000</v>
      </c>
      <c r="I37">
        <v>0</v>
      </c>
    </row>
    <row r="38" spans="1:9" x14ac:dyDescent="0.3">
      <c r="A38" s="2">
        <v>45768</v>
      </c>
      <c r="B38" s="1" t="s">
        <v>54</v>
      </c>
      <c r="C38" t="s">
        <v>55</v>
      </c>
      <c r="D38" t="s">
        <v>56</v>
      </c>
      <c r="E38" t="s">
        <v>44</v>
      </c>
      <c r="F38">
        <v>12328</v>
      </c>
      <c r="G38" t="s">
        <v>10</v>
      </c>
      <c r="H38">
        <v>15000</v>
      </c>
      <c r="I38">
        <v>0</v>
      </c>
    </row>
    <row r="39" spans="1:9" x14ac:dyDescent="0.3">
      <c r="A39" s="2">
        <v>45768</v>
      </c>
      <c r="B39" s="1" t="s">
        <v>51</v>
      </c>
      <c r="C39" t="s">
        <v>52</v>
      </c>
      <c r="D39" t="s">
        <v>53</v>
      </c>
      <c r="E39" t="s">
        <v>44</v>
      </c>
      <c r="F39">
        <v>13044.9</v>
      </c>
      <c r="G39" t="s">
        <v>9</v>
      </c>
      <c r="H39">
        <v>15000</v>
      </c>
      <c r="I39">
        <v>0</v>
      </c>
    </row>
    <row r="40" spans="1:9" x14ac:dyDescent="0.3">
      <c r="A40" s="2">
        <v>45768</v>
      </c>
      <c r="B40" s="1" t="s">
        <v>48</v>
      </c>
      <c r="C40" t="s">
        <v>49</v>
      </c>
      <c r="D40" t="s">
        <v>50</v>
      </c>
      <c r="E40" t="s">
        <v>44</v>
      </c>
      <c r="F40">
        <v>13230</v>
      </c>
      <c r="G40" t="s">
        <v>10</v>
      </c>
      <c r="H40">
        <v>15000</v>
      </c>
      <c r="I40">
        <v>0</v>
      </c>
    </row>
    <row r="41" spans="1:9" x14ac:dyDescent="0.3">
      <c r="A41" s="2">
        <v>45768</v>
      </c>
      <c r="B41" s="1" t="s">
        <v>41</v>
      </c>
      <c r="C41" t="s">
        <v>42</v>
      </c>
      <c r="D41" t="s">
        <v>43</v>
      </c>
      <c r="E41" t="s">
        <v>44</v>
      </c>
      <c r="F41">
        <v>13244.7</v>
      </c>
      <c r="G41" t="s">
        <v>9</v>
      </c>
      <c r="H41">
        <v>15000</v>
      </c>
      <c r="I41">
        <v>0</v>
      </c>
    </row>
    <row r="42" spans="1:9" x14ac:dyDescent="0.3">
      <c r="A42" s="2">
        <v>45768</v>
      </c>
      <c r="B42" s="1" t="s">
        <v>54</v>
      </c>
      <c r="C42" t="s">
        <v>55</v>
      </c>
      <c r="D42" t="s">
        <v>56</v>
      </c>
      <c r="E42" t="s">
        <v>44</v>
      </c>
      <c r="F42">
        <v>13674</v>
      </c>
      <c r="G42" t="s">
        <v>10</v>
      </c>
      <c r="H42">
        <v>15000</v>
      </c>
      <c r="I42">
        <v>0</v>
      </c>
    </row>
    <row r="43" spans="1:9" x14ac:dyDescent="0.3">
      <c r="A43" s="2">
        <v>45768</v>
      </c>
      <c r="B43" s="1" t="s">
        <v>45</v>
      </c>
      <c r="C43" t="s">
        <v>46</v>
      </c>
      <c r="D43" t="s">
        <v>47</v>
      </c>
      <c r="E43" t="s">
        <v>44</v>
      </c>
      <c r="F43">
        <v>13725.6</v>
      </c>
      <c r="G43" t="s">
        <v>12</v>
      </c>
      <c r="H43">
        <v>15000</v>
      </c>
      <c r="I43">
        <v>0</v>
      </c>
    </row>
    <row r="44" spans="1:9" x14ac:dyDescent="0.3">
      <c r="A44" s="2">
        <v>45768</v>
      </c>
      <c r="B44" s="1" t="s">
        <v>41</v>
      </c>
      <c r="C44" t="s">
        <v>42</v>
      </c>
      <c r="D44" t="s">
        <v>43</v>
      </c>
      <c r="E44" t="s">
        <v>44</v>
      </c>
      <c r="F44">
        <v>13923</v>
      </c>
      <c r="G44" t="s">
        <v>12</v>
      </c>
      <c r="H44">
        <v>15000</v>
      </c>
      <c r="I44">
        <v>0</v>
      </c>
    </row>
    <row r="45" spans="1:9" x14ac:dyDescent="0.3">
      <c r="A45" s="2">
        <v>45798</v>
      </c>
      <c r="B45" s="1" t="s">
        <v>45</v>
      </c>
      <c r="C45" t="s">
        <v>46</v>
      </c>
      <c r="D45" t="s">
        <v>47</v>
      </c>
      <c r="E45" t="s">
        <v>44</v>
      </c>
      <c r="F45">
        <v>14311.2</v>
      </c>
      <c r="G45" t="s">
        <v>9</v>
      </c>
      <c r="H45">
        <v>15000</v>
      </c>
      <c r="I45">
        <v>0</v>
      </c>
    </row>
    <row r="46" spans="1:9" x14ac:dyDescent="0.3">
      <c r="A46" s="2">
        <v>45798</v>
      </c>
      <c r="B46" s="1" t="s">
        <v>45</v>
      </c>
      <c r="C46" t="s">
        <v>46</v>
      </c>
      <c r="D46" t="s">
        <v>47</v>
      </c>
      <c r="E46" t="s">
        <v>44</v>
      </c>
      <c r="F46">
        <v>14616</v>
      </c>
      <c r="G46" t="s">
        <v>10</v>
      </c>
      <c r="H46">
        <v>15000</v>
      </c>
      <c r="I46">
        <v>0</v>
      </c>
    </row>
    <row r="47" spans="1:9" x14ac:dyDescent="0.3">
      <c r="A47" s="2">
        <v>45798</v>
      </c>
      <c r="B47" s="1" t="s">
        <v>45</v>
      </c>
      <c r="C47" t="s">
        <v>46</v>
      </c>
      <c r="D47" t="s">
        <v>47</v>
      </c>
      <c r="E47" t="s">
        <v>44</v>
      </c>
      <c r="F47">
        <v>14715.2</v>
      </c>
      <c r="G47" t="s">
        <v>10</v>
      </c>
      <c r="H47">
        <v>15000</v>
      </c>
      <c r="I47">
        <v>0</v>
      </c>
    </row>
    <row r="48" spans="1:9" x14ac:dyDescent="0.3">
      <c r="A48" s="2">
        <v>45798</v>
      </c>
      <c r="B48" s="1" t="s">
        <v>41</v>
      </c>
      <c r="C48" t="s">
        <v>42</v>
      </c>
      <c r="D48" t="s">
        <v>43</v>
      </c>
      <c r="E48" t="s">
        <v>44</v>
      </c>
      <c r="F48">
        <v>15262.8</v>
      </c>
      <c r="G48" t="s">
        <v>12</v>
      </c>
      <c r="H48">
        <v>15000</v>
      </c>
      <c r="I48">
        <v>1526.28</v>
      </c>
    </row>
    <row r="49" spans="1:9" x14ac:dyDescent="0.3">
      <c r="A49" s="2">
        <v>45798</v>
      </c>
      <c r="B49" s="1" t="s">
        <v>48</v>
      </c>
      <c r="C49" t="s">
        <v>49</v>
      </c>
      <c r="D49" t="s">
        <v>50</v>
      </c>
      <c r="E49" t="s">
        <v>44</v>
      </c>
      <c r="F49">
        <v>15353.2</v>
      </c>
      <c r="G49" t="s">
        <v>9</v>
      </c>
      <c r="H49">
        <v>15000</v>
      </c>
      <c r="I49">
        <v>1535.3200000000002</v>
      </c>
    </row>
    <row r="50" spans="1:9" x14ac:dyDescent="0.3">
      <c r="A50" s="2">
        <v>45798</v>
      </c>
      <c r="B50" s="1" t="s">
        <v>41</v>
      </c>
      <c r="C50" t="s">
        <v>42</v>
      </c>
      <c r="D50" t="s">
        <v>43</v>
      </c>
      <c r="E50" t="s">
        <v>44</v>
      </c>
      <c r="F50">
        <v>15403.6</v>
      </c>
      <c r="G50" t="s">
        <v>10</v>
      </c>
      <c r="H50">
        <v>15000</v>
      </c>
      <c r="I50">
        <v>1540.3600000000001</v>
      </c>
    </row>
    <row r="51" spans="1:9" x14ac:dyDescent="0.3">
      <c r="A51" s="2">
        <v>45798</v>
      </c>
      <c r="B51" s="1" t="s">
        <v>45</v>
      </c>
      <c r="C51" t="s">
        <v>46</v>
      </c>
      <c r="D51" t="s">
        <v>47</v>
      </c>
      <c r="E51" t="s">
        <v>44</v>
      </c>
      <c r="F51">
        <v>15953.6</v>
      </c>
      <c r="G51" t="s">
        <v>10</v>
      </c>
      <c r="H51">
        <v>15000</v>
      </c>
      <c r="I51">
        <v>1595.3600000000001</v>
      </c>
    </row>
    <row r="52" spans="1:9" x14ac:dyDescent="0.3">
      <c r="A52" s="2">
        <v>45829</v>
      </c>
      <c r="B52" s="1" t="s">
        <v>45</v>
      </c>
      <c r="C52" t="s">
        <v>46</v>
      </c>
      <c r="D52" t="s">
        <v>47</v>
      </c>
      <c r="E52" t="s">
        <v>44</v>
      </c>
      <c r="F52">
        <v>16394.400000000001</v>
      </c>
      <c r="G52" t="s">
        <v>10</v>
      </c>
      <c r="H52">
        <v>15000</v>
      </c>
      <c r="I52">
        <v>1639.4400000000003</v>
      </c>
    </row>
    <row r="53" spans="1:9" x14ac:dyDescent="0.3">
      <c r="A53" s="2">
        <v>45829</v>
      </c>
      <c r="B53" s="1" t="s">
        <v>45</v>
      </c>
      <c r="C53" t="s">
        <v>46</v>
      </c>
      <c r="D53" t="s">
        <v>47</v>
      </c>
      <c r="E53" t="s">
        <v>44</v>
      </c>
      <c r="F53">
        <v>16606</v>
      </c>
      <c r="G53" t="s">
        <v>12</v>
      </c>
      <c r="H53">
        <v>15000</v>
      </c>
      <c r="I53">
        <v>1660.6000000000001</v>
      </c>
    </row>
    <row r="54" spans="1:9" x14ac:dyDescent="0.3">
      <c r="A54" s="2">
        <v>45829</v>
      </c>
      <c r="B54" s="1" t="s">
        <v>45</v>
      </c>
      <c r="C54" t="s">
        <v>46</v>
      </c>
      <c r="D54" t="s">
        <v>47</v>
      </c>
      <c r="E54" t="s">
        <v>44</v>
      </c>
      <c r="F54">
        <v>17328.3</v>
      </c>
      <c r="G54" t="s">
        <v>12</v>
      </c>
      <c r="H54">
        <v>15000</v>
      </c>
      <c r="I54">
        <v>1732.83</v>
      </c>
    </row>
    <row r="55" spans="1:9" x14ac:dyDescent="0.3">
      <c r="A55" s="2">
        <v>45829</v>
      </c>
      <c r="B55" s="1" t="s">
        <v>48</v>
      </c>
      <c r="C55" t="s">
        <v>49</v>
      </c>
      <c r="D55" t="s">
        <v>50</v>
      </c>
      <c r="E55" t="s">
        <v>44</v>
      </c>
      <c r="F55">
        <v>17593.400000000001</v>
      </c>
      <c r="G55" t="s">
        <v>10</v>
      </c>
      <c r="H55">
        <v>15000</v>
      </c>
      <c r="I55">
        <v>1759.3400000000001</v>
      </c>
    </row>
    <row r="56" spans="1:9" x14ac:dyDescent="0.3">
      <c r="A56" s="2">
        <v>45829</v>
      </c>
      <c r="B56" s="1" t="s">
        <v>54</v>
      </c>
      <c r="C56" t="s">
        <v>55</v>
      </c>
      <c r="D56" t="s">
        <v>56</v>
      </c>
      <c r="E56" t="s">
        <v>44</v>
      </c>
      <c r="F56">
        <v>17666</v>
      </c>
      <c r="G56" t="s">
        <v>9</v>
      </c>
      <c r="H56">
        <v>15000</v>
      </c>
      <c r="I56">
        <v>1766.6000000000001</v>
      </c>
    </row>
    <row r="57" spans="1:9" x14ac:dyDescent="0.3">
      <c r="A57" s="2">
        <v>45829</v>
      </c>
      <c r="B57" s="1" t="s">
        <v>41</v>
      </c>
      <c r="C57" t="s">
        <v>42</v>
      </c>
      <c r="D57" t="s">
        <v>43</v>
      </c>
      <c r="E57" t="s">
        <v>44</v>
      </c>
      <c r="F57">
        <v>18452.599999999999</v>
      </c>
      <c r="G57" t="s">
        <v>12</v>
      </c>
      <c r="H57">
        <v>15000</v>
      </c>
      <c r="I57">
        <v>1845.26</v>
      </c>
    </row>
    <row r="58" spans="1:9" x14ac:dyDescent="0.3">
      <c r="A58" s="2">
        <v>45859</v>
      </c>
      <c r="B58" s="1" t="s">
        <v>48</v>
      </c>
      <c r="C58" t="s">
        <v>49</v>
      </c>
      <c r="D58" t="s">
        <v>50</v>
      </c>
      <c r="E58" t="s">
        <v>44</v>
      </c>
      <c r="F58">
        <v>18885.900000000001</v>
      </c>
      <c r="G58" t="s">
        <v>12</v>
      </c>
      <c r="H58">
        <v>15000</v>
      </c>
      <c r="I58">
        <v>1888.5900000000001</v>
      </c>
    </row>
    <row r="59" spans="1:9" x14ac:dyDescent="0.3">
      <c r="A59" s="2">
        <v>45859</v>
      </c>
      <c r="B59" s="1" t="s">
        <v>41</v>
      </c>
      <c r="C59" t="s">
        <v>42</v>
      </c>
      <c r="D59" t="s">
        <v>43</v>
      </c>
      <c r="E59" t="s">
        <v>44</v>
      </c>
      <c r="F59">
        <v>18994.5</v>
      </c>
      <c r="G59" t="s">
        <v>10</v>
      </c>
      <c r="H59">
        <v>15000</v>
      </c>
      <c r="I59">
        <v>1899.45</v>
      </c>
    </row>
    <row r="60" spans="1:9" x14ac:dyDescent="0.3">
      <c r="A60" s="2">
        <v>45859</v>
      </c>
      <c r="B60" s="1" t="s">
        <v>54</v>
      </c>
      <c r="C60" t="s">
        <v>55</v>
      </c>
      <c r="D60" t="s">
        <v>56</v>
      </c>
      <c r="E60" t="s">
        <v>44</v>
      </c>
      <c r="F60">
        <v>19147.8</v>
      </c>
      <c r="G60" t="s">
        <v>10</v>
      </c>
      <c r="H60">
        <v>15000</v>
      </c>
      <c r="I60">
        <v>1914.78</v>
      </c>
    </row>
    <row r="61" spans="1:9" x14ac:dyDescent="0.3">
      <c r="A61" s="2">
        <v>45859</v>
      </c>
      <c r="B61" s="1" t="s">
        <v>51</v>
      </c>
      <c r="C61" t="s">
        <v>52</v>
      </c>
      <c r="D61" t="s">
        <v>53</v>
      </c>
      <c r="E61" t="s">
        <v>44</v>
      </c>
      <c r="F61">
        <v>20062.5</v>
      </c>
      <c r="G61" t="s">
        <v>9</v>
      </c>
      <c r="H61">
        <v>15000</v>
      </c>
      <c r="I61">
        <v>2006.25</v>
      </c>
    </row>
    <row r="62" spans="1:9" x14ac:dyDescent="0.3">
      <c r="A62" s="2">
        <v>45859</v>
      </c>
      <c r="B62" s="1" t="s">
        <v>45</v>
      </c>
      <c r="C62" t="s">
        <v>46</v>
      </c>
      <c r="D62" t="s">
        <v>47</v>
      </c>
      <c r="E62" t="s">
        <v>44</v>
      </c>
      <c r="F62">
        <v>20760.3</v>
      </c>
      <c r="G62" t="s">
        <v>10</v>
      </c>
      <c r="H62">
        <v>15000</v>
      </c>
      <c r="I62">
        <v>2076.0300000000002</v>
      </c>
    </row>
    <row r="63" spans="1:9" x14ac:dyDescent="0.3">
      <c r="A63" s="2">
        <v>45859</v>
      </c>
      <c r="B63" s="1" t="s">
        <v>54</v>
      </c>
      <c r="C63" t="s">
        <v>55</v>
      </c>
      <c r="D63" t="s">
        <v>56</v>
      </c>
      <c r="E63" t="s">
        <v>44</v>
      </c>
      <c r="F63">
        <v>20790</v>
      </c>
      <c r="G63" t="s">
        <v>10</v>
      </c>
      <c r="H63">
        <v>15000</v>
      </c>
      <c r="I63">
        <v>2079</v>
      </c>
    </row>
    <row r="64" spans="1:9" x14ac:dyDescent="0.3">
      <c r="A64" s="2">
        <v>45859</v>
      </c>
      <c r="B64" s="1" t="s">
        <v>45</v>
      </c>
      <c r="C64" t="s">
        <v>46</v>
      </c>
      <c r="D64" t="s">
        <v>47</v>
      </c>
      <c r="E64" t="s">
        <v>44</v>
      </c>
      <c r="F64">
        <v>21120.400000000001</v>
      </c>
      <c r="G64" t="s">
        <v>10</v>
      </c>
      <c r="H64">
        <v>15000</v>
      </c>
      <c r="I64">
        <v>2112.0400000000004</v>
      </c>
    </row>
    <row r="65" spans="1:15" x14ac:dyDescent="0.3">
      <c r="A65" s="2">
        <v>45859</v>
      </c>
      <c r="B65" s="1" t="s">
        <v>45</v>
      </c>
      <c r="C65" t="s">
        <v>46</v>
      </c>
      <c r="D65" t="s">
        <v>47</v>
      </c>
      <c r="E65" t="s">
        <v>44</v>
      </c>
      <c r="F65">
        <v>21420</v>
      </c>
      <c r="G65" t="s">
        <v>12</v>
      </c>
      <c r="H65">
        <v>15000</v>
      </c>
      <c r="I65">
        <v>2142</v>
      </c>
    </row>
    <row r="66" spans="1:15" x14ac:dyDescent="0.3">
      <c r="A66" s="2">
        <v>45863</v>
      </c>
      <c r="B66" s="1" t="s">
        <v>54</v>
      </c>
      <c r="C66" t="s">
        <v>55</v>
      </c>
      <c r="D66" t="s">
        <v>56</v>
      </c>
      <c r="E66" t="s">
        <v>44</v>
      </c>
      <c r="F66">
        <v>21438.9</v>
      </c>
      <c r="G66" t="s">
        <v>9</v>
      </c>
      <c r="H66">
        <v>15000</v>
      </c>
      <c r="I66">
        <v>2143.8900000000003</v>
      </c>
    </row>
    <row r="67" spans="1:15" x14ac:dyDescent="0.3">
      <c r="A67" s="2">
        <v>45863</v>
      </c>
      <c r="B67" s="1" t="s">
        <v>51</v>
      </c>
      <c r="C67" t="s">
        <v>52</v>
      </c>
      <c r="D67" t="s">
        <v>53</v>
      </c>
      <c r="E67" t="s">
        <v>44</v>
      </c>
      <c r="F67">
        <v>21878.5</v>
      </c>
      <c r="G67" t="s">
        <v>9</v>
      </c>
      <c r="H67">
        <v>15000</v>
      </c>
      <c r="I67">
        <v>2187.85</v>
      </c>
    </row>
    <row r="68" spans="1:15" x14ac:dyDescent="0.3">
      <c r="A68" s="2">
        <v>45863</v>
      </c>
      <c r="B68" s="1" t="s">
        <v>54</v>
      </c>
      <c r="C68" t="s">
        <v>55</v>
      </c>
      <c r="D68" t="s">
        <v>56</v>
      </c>
      <c r="E68" t="s">
        <v>44</v>
      </c>
      <c r="F68">
        <v>22136.799999999999</v>
      </c>
      <c r="G68" t="s">
        <v>9</v>
      </c>
      <c r="H68">
        <v>15000</v>
      </c>
      <c r="I68">
        <v>2213.6799999999998</v>
      </c>
    </row>
    <row r="69" spans="1:15" x14ac:dyDescent="0.3">
      <c r="A69" s="2">
        <v>45863</v>
      </c>
      <c r="B69" s="1" t="s">
        <v>54</v>
      </c>
      <c r="C69" t="s">
        <v>55</v>
      </c>
      <c r="D69" t="s">
        <v>56</v>
      </c>
      <c r="E69" t="s">
        <v>44</v>
      </c>
      <c r="F69">
        <v>22900.5</v>
      </c>
      <c r="G69" t="s">
        <v>9</v>
      </c>
      <c r="H69">
        <v>15000</v>
      </c>
      <c r="I69">
        <v>2290.0500000000002</v>
      </c>
    </row>
    <row r="70" spans="1:15" x14ac:dyDescent="0.3">
      <c r="A70" s="2">
        <v>45863</v>
      </c>
      <c r="B70" s="1" t="s">
        <v>48</v>
      </c>
      <c r="C70" t="s">
        <v>49</v>
      </c>
      <c r="D70" t="s">
        <v>50</v>
      </c>
      <c r="E70" t="s">
        <v>44</v>
      </c>
      <c r="F70">
        <v>23014.400000000001</v>
      </c>
      <c r="G70" t="s">
        <v>9</v>
      </c>
      <c r="H70">
        <v>15000</v>
      </c>
      <c r="I70">
        <v>2301.44</v>
      </c>
    </row>
    <row r="71" spans="1:15" x14ac:dyDescent="0.3">
      <c r="A71" s="2">
        <v>45890</v>
      </c>
      <c r="B71" s="1" t="s">
        <v>54</v>
      </c>
      <c r="C71" t="s">
        <v>55</v>
      </c>
      <c r="D71" t="s">
        <v>56</v>
      </c>
      <c r="E71" t="s">
        <v>44</v>
      </c>
      <c r="F71">
        <v>23058</v>
      </c>
      <c r="G71" t="s">
        <v>12</v>
      </c>
      <c r="H71">
        <v>15000</v>
      </c>
      <c r="I71">
        <v>2305.8000000000002</v>
      </c>
    </row>
    <row r="72" spans="1:15" x14ac:dyDescent="0.3">
      <c r="A72" s="2">
        <v>45890</v>
      </c>
      <c r="B72" s="1" t="s">
        <v>54</v>
      </c>
      <c r="C72" t="s">
        <v>55</v>
      </c>
      <c r="D72" t="s">
        <v>56</v>
      </c>
      <c r="E72" t="s">
        <v>44</v>
      </c>
      <c r="F72">
        <v>23240.400000000001</v>
      </c>
      <c r="G72" t="s">
        <v>10</v>
      </c>
      <c r="H72">
        <v>15000</v>
      </c>
      <c r="I72">
        <v>2324.0400000000004</v>
      </c>
    </row>
    <row r="73" spans="1:15" x14ac:dyDescent="0.3">
      <c r="A73" s="2">
        <v>45890</v>
      </c>
      <c r="B73" s="1" t="s">
        <v>45</v>
      </c>
      <c r="C73" t="s">
        <v>46</v>
      </c>
      <c r="D73" t="s">
        <v>47</v>
      </c>
      <c r="E73" t="s">
        <v>44</v>
      </c>
      <c r="F73">
        <v>23997.599999999999</v>
      </c>
      <c r="G73" t="s">
        <v>9</v>
      </c>
      <c r="H73">
        <v>15000</v>
      </c>
      <c r="I73">
        <v>2399.7599999999998</v>
      </c>
    </row>
    <row r="74" spans="1:15" x14ac:dyDescent="0.3">
      <c r="A74" s="2">
        <v>45890</v>
      </c>
      <c r="B74" s="1" t="s">
        <v>41</v>
      </c>
      <c r="C74" t="s">
        <v>42</v>
      </c>
      <c r="D74" t="s">
        <v>43</v>
      </c>
      <c r="E74" t="s">
        <v>44</v>
      </c>
      <c r="F74">
        <v>24080</v>
      </c>
      <c r="G74" t="s">
        <v>9</v>
      </c>
      <c r="H74">
        <v>15000</v>
      </c>
      <c r="I74">
        <v>2408</v>
      </c>
    </row>
    <row r="75" spans="1:15" x14ac:dyDescent="0.3">
      <c r="A75" s="2">
        <v>45890</v>
      </c>
      <c r="B75" s="1" t="s">
        <v>48</v>
      </c>
      <c r="C75" t="s">
        <v>49</v>
      </c>
      <c r="D75" t="s">
        <v>50</v>
      </c>
      <c r="E75" t="s">
        <v>44</v>
      </c>
      <c r="F75">
        <v>24236</v>
      </c>
      <c r="G75" t="s">
        <v>9</v>
      </c>
      <c r="H75">
        <v>15000</v>
      </c>
      <c r="I75">
        <v>2423.6</v>
      </c>
    </row>
    <row r="76" spans="1:15" x14ac:dyDescent="0.3">
      <c r="A76" s="2">
        <v>45890</v>
      </c>
      <c r="B76" s="1" t="s">
        <v>45</v>
      </c>
      <c r="C76" t="s">
        <v>46</v>
      </c>
      <c r="D76" t="s">
        <v>47</v>
      </c>
      <c r="E76" t="s">
        <v>44</v>
      </c>
      <c r="F76">
        <v>24544</v>
      </c>
      <c r="G76" t="s">
        <v>10</v>
      </c>
      <c r="H76">
        <v>15000</v>
      </c>
      <c r="I76">
        <v>2454.4</v>
      </c>
    </row>
    <row r="77" spans="1:15" x14ac:dyDescent="0.3">
      <c r="A77" s="2">
        <v>45890</v>
      </c>
      <c r="B77" s="1" t="s">
        <v>54</v>
      </c>
      <c r="C77" t="s">
        <v>55</v>
      </c>
      <c r="D77" t="s">
        <v>56</v>
      </c>
      <c r="E77" t="s">
        <v>44</v>
      </c>
      <c r="F77">
        <v>24579.8</v>
      </c>
      <c r="G77" t="s">
        <v>9</v>
      </c>
      <c r="H77">
        <v>15000</v>
      </c>
      <c r="I77">
        <v>2457.98</v>
      </c>
    </row>
    <row r="78" spans="1:15" x14ac:dyDescent="0.3">
      <c r="A78" s="2">
        <v>45890</v>
      </c>
      <c r="B78" s="1" t="s">
        <v>48</v>
      </c>
      <c r="C78" t="s">
        <v>49</v>
      </c>
      <c r="D78" t="s">
        <v>50</v>
      </c>
      <c r="E78" t="s">
        <v>44</v>
      </c>
      <c r="F78">
        <v>25560</v>
      </c>
      <c r="G78" t="s">
        <v>9</v>
      </c>
      <c r="H78">
        <v>15000</v>
      </c>
      <c r="I78">
        <v>2556</v>
      </c>
    </row>
    <row r="79" spans="1:15" x14ac:dyDescent="0.3">
      <c r="A79" s="2">
        <v>45890</v>
      </c>
      <c r="B79" s="1" t="s">
        <v>54</v>
      </c>
      <c r="C79" t="s">
        <v>55</v>
      </c>
      <c r="D79" t="s">
        <v>56</v>
      </c>
      <c r="E79" t="s">
        <v>44</v>
      </c>
      <c r="F79">
        <v>25946.3</v>
      </c>
      <c r="G79" t="s">
        <v>12</v>
      </c>
      <c r="H79">
        <v>15000</v>
      </c>
      <c r="I79">
        <v>2594.63</v>
      </c>
    </row>
    <row r="80" spans="1:15" x14ac:dyDescent="0.3">
      <c r="A80" s="2">
        <v>45890</v>
      </c>
      <c r="B80" s="1" t="s">
        <v>41</v>
      </c>
      <c r="C80" t="s">
        <v>42</v>
      </c>
      <c r="D80" t="s">
        <v>43</v>
      </c>
      <c r="E80" t="s">
        <v>44</v>
      </c>
      <c r="F80">
        <v>26200</v>
      </c>
      <c r="G80" t="s">
        <v>10</v>
      </c>
      <c r="H80">
        <v>15000</v>
      </c>
      <c r="I80">
        <v>2620</v>
      </c>
      <c r="K80">
        <f>SUMIF($B$3:$B$100, J$2, $F$3:$F$100)</f>
        <v>346511.5</v>
      </c>
      <c r="L80">
        <f>SUMIF($B$3:$B$100, K$2, $F$3:$F$100)</f>
        <v>482889</v>
      </c>
      <c r="M80">
        <f>SUMIF($B$3:$B$100, L$2, $F$3:$F$100)</f>
        <v>331096.8</v>
      </c>
      <c r="N80">
        <f>SUMIF($B$3:$B$100, M$2, $F$3:$F$100)</f>
        <v>285253.09999999998</v>
      </c>
      <c r="O80">
        <f>SUMIF($B$3:$B$100, N$2, $F$3:$F$100)</f>
        <v>323152.3</v>
      </c>
    </row>
    <row r="81" spans="1:9" x14ac:dyDescent="0.3">
      <c r="A81" s="2">
        <v>45890</v>
      </c>
      <c r="B81" s="1" t="s">
        <v>51</v>
      </c>
      <c r="C81" t="s">
        <v>52</v>
      </c>
      <c r="D81" t="s">
        <v>53</v>
      </c>
      <c r="E81" t="s">
        <v>44</v>
      </c>
      <c r="F81">
        <v>26556.799999999999</v>
      </c>
      <c r="G81" t="s">
        <v>10</v>
      </c>
      <c r="H81">
        <v>15000</v>
      </c>
      <c r="I81">
        <v>2655.6800000000003</v>
      </c>
    </row>
    <row r="82" spans="1:9" x14ac:dyDescent="0.3">
      <c r="A82" s="2">
        <v>45890</v>
      </c>
      <c r="B82" s="1" t="s">
        <v>41</v>
      </c>
      <c r="C82" t="s">
        <v>42</v>
      </c>
      <c r="D82" t="s">
        <v>43</v>
      </c>
      <c r="E82" t="s">
        <v>44</v>
      </c>
      <c r="F82">
        <v>27350.400000000001</v>
      </c>
      <c r="G82" t="s">
        <v>12</v>
      </c>
      <c r="H82">
        <v>15000</v>
      </c>
      <c r="I82">
        <v>2735.0400000000004</v>
      </c>
    </row>
    <row r="83" spans="1:9" x14ac:dyDescent="0.3">
      <c r="A83" s="2">
        <v>45890</v>
      </c>
      <c r="B83" s="1" t="s">
        <v>48</v>
      </c>
      <c r="C83" t="s">
        <v>49</v>
      </c>
      <c r="D83" t="s">
        <v>50</v>
      </c>
      <c r="E83" t="s">
        <v>44</v>
      </c>
      <c r="F83">
        <v>27531</v>
      </c>
      <c r="G83" t="s">
        <v>12</v>
      </c>
      <c r="H83">
        <v>15000</v>
      </c>
      <c r="I83">
        <v>2753.1000000000004</v>
      </c>
    </row>
    <row r="84" spans="1:9" x14ac:dyDescent="0.3">
      <c r="A84" s="2">
        <v>45890</v>
      </c>
      <c r="B84" s="1" t="s">
        <v>51</v>
      </c>
      <c r="C84" t="s">
        <v>52</v>
      </c>
      <c r="D84" t="s">
        <v>53</v>
      </c>
      <c r="E84" t="s">
        <v>44</v>
      </c>
      <c r="F84">
        <v>28286.400000000001</v>
      </c>
      <c r="G84" t="s">
        <v>9</v>
      </c>
      <c r="H84">
        <v>15000</v>
      </c>
      <c r="I84">
        <v>2828.6400000000003</v>
      </c>
    </row>
    <row r="85" spans="1:9" x14ac:dyDescent="0.3">
      <c r="A85" s="2">
        <v>45890</v>
      </c>
      <c r="B85" s="1" t="s">
        <v>48</v>
      </c>
      <c r="C85" t="s">
        <v>49</v>
      </c>
      <c r="D85" t="s">
        <v>50</v>
      </c>
      <c r="E85" t="s">
        <v>44</v>
      </c>
      <c r="F85">
        <v>28616</v>
      </c>
      <c r="G85" t="s">
        <v>12</v>
      </c>
      <c r="H85">
        <v>15000</v>
      </c>
      <c r="I85">
        <v>2861.6000000000004</v>
      </c>
    </row>
    <row r="86" spans="1:9" x14ac:dyDescent="0.3">
      <c r="A86" s="2">
        <v>45894</v>
      </c>
      <c r="B86" s="1" t="s">
        <v>41</v>
      </c>
      <c r="C86" t="s">
        <v>42</v>
      </c>
      <c r="D86" t="s">
        <v>43</v>
      </c>
      <c r="E86" t="s">
        <v>44</v>
      </c>
      <c r="F86">
        <v>28628.799999999999</v>
      </c>
      <c r="G86" t="s">
        <v>12</v>
      </c>
      <c r="H86">
        <v>15000</v>
      </c>
      <c r="I86">
        <v>2862.88</v>
      </c>
    </row>
    <row r="87" spans="1:9" x14ac:dyDescent="0.3">
      <c r="A87" s="2">
        <v>45894</v>
      </c>
      <c r="B87" s="1" t="s">
        <v>48</v>
      </c>
      <c r="C87" t="s">
        <v>49</v>
      </c>
      <c r="D87" t="s">
        <v>50</v>
      </c>
      <c r="E87" t="s">
        <v>44</v>
      </c>
      <c r="F87">
        <v>28845</v>
      </c>
      <c r="G87" t="s">
        <v>10</v>
      </c>
      <c r="H87">
        <v>15000</v>
      </c>
      <c r="I87">
        <v>2884.5</v>
      </c>
    </row>
    <row r="88" spans="1:9" x14ac:dyDescent="0.3">
      <c r="A88" s="2">
        <v>45894</v>
      </c>
      <c r="B88" s="1" t="s">
        <v>41</v>
      </c>
      <c r="C88" t="s">
        <v>42</v>
      </c>
      <c r="D88" t="s">
        <v>43</v>
      </c>
      <c r="E88" t="s">
        <v>44</v>
      </c>
      <c r="F88">
        <v>30368</v>
      </c>
      <c r="G88" t="s">
        <v>10</v>
      </c>
      <c r="H88">
        <v>15000</v>
      </c>
      <c r="I88">
        <v>3036.8</v>
      </c>
    </row>
    <row r="89" spans="1:9" x14ac:dyDescent="0.3">
      <c r="A89" s="2">
        <v>45894</v>
      </c>
      <c r="B89" s="1" t="s">
        <v>45</v>
      </c>
      <c r="C89" t="s">
        <v>46</v>
      </c>
      <c r="D89" t="s">
        <v>47</v>
      </c>
      <c r="E89" t="s">
        <v>44</v>
      </c>
      <c r="F89">
        <v>30377.4</v>
      </c>
      <c r="G89" t="s">
        <v>12</v>
      </c>
      <c r="H89">
        <v>15000</v>
      </c>
      <c r="I89">
        <v>3037.7400000000002</v>
      </c>
    </row>
    <row r="90" spans="1:9" x14ac:dyDescent="0.3">
      <c r="A90" s="2">
        <v>45921</v>
      </c>
      <c r="B90" s="1" t="s">
        <v>54</v>
      </c>
      <c r="C90" t="s">
        <v>55</v>
      </c>
      <c r="D90" t="s">
        <v>56</v>
      </c>
      <c r="E90" t="s">
        <v>44</v>
      </c>
      <c r="F90">
        <v>32795.699999999997</v>
      </c>
      <c r="G90" t="s">
        <v>10</v>
      </c>
      <c r="H90">
        <v>15000</v>
      </c>
      <c r="I90">
        <v>3279.5699999999997</v>
      </c>
    </row>
    <row r="91" spans="1:9" x14ac:dyDescent="0.3">
      <c r="A91" s="2">
        <v>45921</v>
      </c>
      <c r="B91" s="1" t="s">
        <v>51</v>
      </c>
      <c r="C91" t="s">
        <v>52</v>
      </c>
      <c r="D91" t="s">
        <v>53</v>
      </c>
      <c r="E91" t="s">
        <v>44</v>
      </c>
      <c r="F91">
        <v>33132.6</v>
      </c>
      <c r="G91" t="s">
        <v>12</v>
      </c>
      <c r="H91">
        <v>15000</v>
      </c>
      <c r="I91">
        <v>3313.26</v>
      </c>
    </row>
    <row r="92" spans="1:9" x14ac:dyDescent="0.3">
      <c r="A92" s="2">
        <v>45921</v>
      </c>
      <c r="B92" s="1" t="s">
        <v>48</v>
      </c>
      <c r="C92" t="s">
        <v>49</v>
      </c>
      <c r="D92" t="s">
        <v>50</v>
      </c>
      <c r="E92" t="s">
        <v>44</v>
      </c>
      <c r="F92">
        <v>35351</v>
      </c>
      <c r="G92" t="s">
        <v>10</v>
      </c>
      <c r="H92">
        <v>15000</v>
      </c>
      <c r="I92">
        <v>3535.1000000000004</v>
      </c>
    </row>
    <row r="93" spans="1:9" x14ac:dyDescent="0.3">
      <c r="A93" s="2">
        <v>45921</v>
      </c>
      <c r="B93" s="1" t="s">
        <v>48</v>
      </c>
      <c r="C93" t="s">
        <v>49</v>
      </c>
      <c r="D93" t="s">
        <v>50</v>
      </c>
      <c r="E93" t="s">
        <v>44</v>
      </c>
      <c r="F93">
        <v>35640</v>
      </c>
      <c r="G93" t="s">
        <v>9</v>
      </c>
      <c r="H93">
        <v>15000</v>
      </c>
      <c r="I93">
        <v>3564</v>
      </c>
    </row>
    <row r="94" spans="1:9" x14ac:dyDescent="0.3">
      <c r="A94" s="2">
        <v>45921</v>
      </c>
      <c r="B94" s="1" t="s">
        <v>45</v>
      </c>
      <c r="C94" t="s">
        <v>46</v>
      </c>
      <c r="D94" t="s">
        <v>47</v>
      </c>
      <c r="E94" t="s">
        <v>44</v>
      </c>
      <c r="F94">
        <v>35695</v>
      </c>
      <c r="G94" t="s">
        <v>10</v>
      </c>
      <c r="H94">
        <v>15000</v>
      </c>
      <c r="I94">
        <v>3569.5</v>
      </c>
    </row>
    <row r="95" spans="1:9" x14ac:dyDescent="0.3">
      <c r="A95" s="2">
        <v>45921</v>
      </c>
      <c r="B95" s="1" t="s">
        <v>41</v>
      </c>
      <c r="C95" t="s">
        <v>42</v>
      </c>
      <c r="D95" t="s">
        <v>43</v>
      </c>
      <c r="E95" t="s">
        <v>44</v>
      </c>
      <c r="F95">
        <v>35715.4</v>
      </c>
      <c r="G95" t="s">
        <v>10</v>
      </c>
      <c r="H95">
        <v>15000</v>
      </c>
      <c r="I95">
        <v>3571.5400000000004</v>
      </c>
    </row>
    <row r="96" spans="1:9" x14ac:dyDescent="0.3">
      <c r="A96" s="2">
        <v>45921</v>
      </c>
      <c r="B96" s="1" t="s">
        <v>45</v>
      </c>
      <c r="C96" t="s">
        <v>46</v>
      </c>
      <c r="D96" t="s">
        <v>47</v>
      </c>
      <c r="E96" t="s">
        <v>44</v>
      </c>
      <c r="F96">
        <v>35715.4</v>
      </c>
      <c r="G96" t="s">
        <v>12</v>
      </c>
      <c r="H96">
        <v>15000</v>
      </c>
      <c r="I96">
        <v>3571.5400000000004</v>
      </c>
    </row>
    <row r="97" spans="1:9" x14ac:dyDescent="0.3">
      <c r="A97" s="2">
        <v>45921</v>
      </c>
      <c r="B97" s="1" t="s">
        <v>45</v>
      </c>
      <c r="C97" t="s">
        <v>46</v>
      </c>
      <c r="D97" t="s">
        <v>47</v>
      </c>
      <c r="E97" t="s">
        <v>44</v>
      </c>
      <c r="F97">
        <v>37560</v>
      </c>
      <c r="G97" t="s">
        <v>12</v>
      </c>
      <c r="H97">
        <v>15000</v>
      </c>
      <c r="I97">
        <v>3756</v>
      </c>
    </row>
    <row r="98" spans="1:9" x14ac:dyDescent="0.3">
      <c r="A98" s="2">
        <v>45921</v>
      </c>
      <c r="B98" s="1" t="s">
        <v>51</v>
      </c>
      <c r="C98" t="s">
        <v>52</v>
      </c>
      <c r="D98" t="s">
        <v>53</v>
      </c>
      <c r="E98" t="s">
        <v>44</v>
      </c>
      <c r="F98">
        <v>38570</v>
      </c>
      <c r="G98" t="s">
        <v>9</v>
      </c>
      <c r="H98">
        <v>15000</v>
      </c>
      <c r="I98">
        <v>3857</v>
      </c>
    </row>
    <row r="99" spans="1:9" x14ac:dyDescent="0.3">
      <c r="A99" s="2">
        <v>45921</v>
      </c>
      <c r="B99" s="1" t="s">
        <v>41</v>
      </c>
      <c r="C99" t="s">
        <v>42</v>
      </c>
      <c r="D99" t="s">
        <v>43</v>
      </c>
      <c r="E99" t="s">
        <v>44</v>
      </c>
      <c r="F99">
        <v>39199.599999999999</v>
      </c>
      <c r="G99" t="s">
        <v>12</v>
      </c>
      <c r="H99">
        <v>15000</v>
      </c>
      <c r="I99">
        <v>3919.96</v>
      </c>
    </row>
    <row r="100" spans="1:9" x14ac:dyDescent="0.3">
      <c r="A100" s="2">
        <v>45951</v>
      </c>
      <c r="B100" s="1" t="s">
        <v>51</v>
      </c>
      <c r="C100" t="s">
        <v>52</v>
      </c>
      <c r="D100" t="s">
        <v>53</v>
      </c>
      <c r="E100" t="s">
        <v>44</v>
      </c>
      <c r="F100">
        <v>41989.599999999999</v>
      </c>
      <c r="G100" t="s">
        <v>9</v>
      </c>
      <c r="H100">
        <v>15000</v>
      </c>
      <c r="I100">
        <v>4198.96</v>
      </c>
    </row>
    <row r="101" spans="1:9" x14ac:dyDescent="0.3">
      <c r="A101" s="2">
        <v>45951</v>
      </c>
      <c r="B101" s="1" t="s">
        <v>41</v>
      </c>
      <c r="C101" t="s">
        <v>42</v>
      </c>
      <c r="D101" t="s">
        <v>43</v>
      </c>
      <c r="E101" t="s">
        <v>44</v>
      </c>
      <c r="F101">
        <v>43593.599999999999</v>
      </c>
      <c r="G101" t="s">
        <v>10</v>
      </c>
      <c r="H101">
        <v>15000</v>
      </c>
      <c r="I101">
        <v>4359.3599999999997</v>
      </c>
    </row>
  </sheetData>
  <mergeCells count="1">
    <mergeCell ref="A1:N1"/>
  </mergeCells>
  <conditionalFormatting sqref="F3:F101">
    <cfRule type="top10" dxfId="2"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BB602-882B-4DC9-8505-D9E30BF42DCB}">
  <dimension ref="A1:P98"/>
  <sheetViews>
    <sheetView workbookViewId="0">
      <pane ySplit="2" topLeftCell="A116" activePane="bottomLeft" state="frozen"/>
      <selection pane="bottomLeft" activeCell="F2" sqref="F2"/>
    </sheetView>
  </sheetViews>
  <sheetFormatPr defaultRowHeight="14.4" x14ac:dyDescent="0.3"/>
  <cols>
    <col min="2" max="2" width="23.109375" customWidth="1"/>
    <col min="13" max="13" width="11.33203125" customWidth="1"/>
    <col min="14" max="14" width="10.88671875" customWidth="1"/>
    <col min="15" max="15" width="9.6640625" customWidth="1"/>
  </cols>
  <sheetData>
    <row r="1" spans="1:16" ht="18.600000000000001" customHeight="1" x14ac:dyDescent="0.3">
      <c r="A1" s="27" t="s">
        <v>80</v>
      </c>
      <c r="B1" s="27"/>
      <c r="C1" s="27"/>
      <c r="D1" s="27"/>
      <c r="E1" s="27"/>
      <c r="F1" s="27"/>
      <c r="G1" s="27"/>
      <c r="H1" s="27"/>
      <c r="I1" s="27"/>
      <c r="J1" s="27"/>
      <c r="K1" s="27"/>
      <c r="L1" s="27"/>
      <c r="M1" s="27"/>
      <c r="N1" s="27"/>
      <c r="O1" s="20"/>
    </row>
    <row r="2" spans="1:16" ht="45" customHeight="1" x14ac:dyDescent="0.3">
      <c r="A2" s="19" t="s">
        <v>0</v>
      </c>
      <c r="B2" s="18" t="s">
        <v>1</v>
      </c>
      <c r="C2" s="18" t="s">
        <v>2</v>
      </c>
      <c r="D2" s="18" t="s">
        <v>3</v>
      </c>
      <c r="E2" s="18" t="s">
        <v>4</v>
      </c>
      <c r="F2" s="18" t="s">
        <v>5</v>
      </c>
      <c r="G2" s="18" t="s">
        <v>6</v>
      </c>
      <c r="H2" s="18" t="s">
        <v>76</v>
      </c>
      <c r="I2" s="18" t="s">
        <v>77</v>
      </c>
      <c r="J2" s="18" t="s">
        <v>15</v>
      </c>
      <c r="K2" s="18" t="s">
        <v>19</v>
      </c>
      <c r="L2" s="18" t="s">
        <v>22</v>
      </c>
      <c r="M2" s="18" t="s">
        <v>25</v>
      </c>
      <c r="N2" s="18" t="s">
        <v>68</v>
      </c>
    </row>
    <row r="3" spans="1:16" x14ac:dyDescent="0.3">
      <c r="A3" s="2">
        <v>45678</v>
      </c>
      <c r="B3" s="1" t="s">
        <v>15</v>
      </c>
      <c r="C3" t="s">
        <v>16</v>
      </c>
      <c r="D3" t="s">
        <v>17</v>
      </c>
      <c r="E3" t="s">
        <v>18</v>
      </c>
      <c r="F3">
        <v>2070.3000000000002</v>
      </c>
      <c r="G3" t="s">
        <v>9</v>
      </c>
      <c r="H3">
        <v>15000</v>
      </c>
      <c r="I3">
        <v>0</v>
      </c>
      <c r="J3">
        <f>SUMIF($B$3:$B$100, J$2, $F$3:$F$100)</f>
        <v>368364.80000000005</v>
      </c>
      <c r="K3">
        <f>SUMIF($B$3:$B$100, K$2, $F$3:$F$100)</f>
        <v>371911.89999999997</v>
      </c>
      <c r="L3">
        <f>SUMIF($B$3:$B$100, L$2, $F$3:$F$100)</f>
        <v>526806.6</v>
      </c>
      <c r="M3">
        <f>SUMIF($B$3:$B$100, M$2, $F$3:$F$100)</f>
        <v>310854.5</v>
      </c>
      <c r="N3">
        <f>SUMIF($B$3:$B$100, N$2, $F$3:$F$100)</f>
        <v>227895.8</v>
      </c>
    </row>
    <row r="4" spans="1:16" x14ac:dyDescent="0.3">
      <c r="A4" s="2">
        <v>45678</v>
      </c>
      <c r="B4" s="1" t="s">
        <v>19</v>
      </c>
      <c r="C4" t="s">
        <v>20</v>
      </c>
      <c r="D4" t="s">
        <v>21</v>
      </c>
      <c r="E4" t="s">
        <v>18</v>
      </c>
      <c r="F4">
        <v>2311.5</v>
      </c>
      <c r="G4" t="s">
        <v>10</v>
      </c>
      <c r="H4">
        <v>15000</v>
      </c>
      <c r="I4">
        <v>0</v>
      </c>
    </row>
    <row r="5" spans="1:16" x14ac:dyDescent="0.3">
      <c r="A5" s="2">
        <v>45678</v>
      </c>
      <c r="B5" s="1" t="s">
        <v>22</v>
      </c>
      <c r="C5" t="s">
        <v>23</v>
      </c>
      <c r="D5" t="s">
        <v>24</v>
      </c>
      <c r="E5" t="s">
        <v>18</v>
      </c>
      <c r="F5">
        <v>2954.7</v>
      </c>
      <c r="G5" t="s">
        <v>10</v>
      </c>
      <c r="H5">
        <v>15000</v>
      </c>
      <c r="I5">
        <v>0</v>
      </c>
    </row>
    <row r="6" spans="1:16" x14ac:dyDescent="0.3">
      <c r="A6" s="2">
        <v>45678</v>
      </c>
      <c r="B6" s="1" t="s">
        <v>25</v>
      </c>
      <c r="C6" t="s">
        <v>26</v>
      </c>
      <c r="D6" t="s">
        <v>27</v>
      </c>
      <c r="E6" t="s">
        <v>18</v>
      </c>
      <c r="F6">
        <v>3013.5</v>
      </c>
      <c r="G6" t="s">
        <v>10</v>
      </c>
      <c r="H6">
        <v>15000</v>
      </c>
      <c r="I6">
        <v>0</v>
      </c>
      <c r="P6" s="1"/>
    </row>
    <row r="7" spans="1:16" x14ac:dyDescent="0.3">
      <c r="A7" s="2">
        <v>45678</v>
      </c>
      <c r="B7" s="1" t="s">
        <v>22</v>
      </c>
      <c r="C7" t="s">
        <v>23</v>
      </c>
      <c r="D7" t="s">
        <v>24</v>
      </c>
      <c r="E7" t="s">
        <v>18</v>
      </c>
      <c r="F7">
        <v>3055.2</v>
      </c>
      <c r="G7" t="s">
        <v>9</v>
      </c>
      <c r="H7">
        <v>15000</v>
      </c>
      <c r="I7">
        <v>0</v>
      </c>
      <c r="P7" s="1"/>
    </row>
    <row r="8" spans="1:16" x14ac:dyDescent="0.3">
      <c r="A8" s="2">
        <v>45678</v>
      </c>
      <c r="B8" s="1" t="s">
        <v>25</v>
      </c>
      <c r="C8" t="s">
        <v>26</v>
      </c>
      <c r="D8" t="s">
        <v>27</v>
      </c>
      <c r="E8" t="s">
        <v>18</v>
      </c>
      <c r="F8">
        <v>3243.6</v>
      </c>
      <c r="G8" t="s">
        <v>9</v>
      </c>
      <c r="H8">
        <v>15000</v>
      </c>
      <c r="I8">
        <v>0</v>
      </c>
      <c r="P8" s="1"/>
    </row>
    <row r="9" spans="1:16" x14ac:dyDescent="0.3">
      <c r="A9" s="2">
        <v>45678</v>
      </c>
      <c r="B9" s="1" t="s">
        <v>19</v>
      </c>
      <c r="C9" t="s">
        <v>20</v>
      </c>
      <c r="D9" t="s">
        <v>21</v>
      </c>
      <c r="E9" t="s">
        <v>18</v>
      </c>
      <c r="F9">
        <v>3818</v>
      </c>
      <c r="G9" t="s">
        <v>9</v>
      </c>
      <c r="H9">
        <v>15000</v>
      </c>
      <c r="I9">
        <v>0</v>
      </c>
      <c r="P9" s="1"/>
    </row>
    <row r="10" spans="1:16" x14ac:dyDescent="0.3">
      <c r="A10" s="2">
        <v>45678</v>
      </c>
      <c r="B10" s="1" t="s">
        <v>15</v>
      </c>
      <c r="C10" t="s">
        <v>16</v>
      </c>
      <c r="D10" t="s">
        <v>17</v>
      </c>
      <c r="E10" t="s">
        <v>18</v>
      </c>
      <c r="F10">
        <v>4843.3999999999996</v>
      </c>
      <c r="G10" t="s">
        <v>12</v>
      </c>
      <c r="H10">
        <v>15000</v>
      </c>
      <c r="I10">
        <v>0</v>
      </c>
      <c r="P10" s="1"/>
    </row>
    <row r="11" spans="1:16" x14ac:dyDescent="0.3">
      <c r="A11" s="2">
        <v>45678</v>
      </c>
      <c r="B11" s="1" t="s">
        <v>19</v>
      </c>
      <c r="C11" t="s">
        <v>20</v>
      </c>
      <c r="D11" t="s">
        <v>21</v>
      </c>
      <c r="E11" t="s">
        <v>18</v>
      </c>
      <c r="F11">
        <v>5130</v>
      </c>
      <c r="G11" t="s">
        <v>10</v>
      </c>
      <c r="H11">
        <v>15000</v>
      </c>
      <c r="I11">
        <v>0</v>
      </c>
    </row>
    <row r="12" spans="1:16" ht="28.8" x14ac:dyDescent="0.3">
      <c r="A12" s="2">
        <v>45678</v>
      </c>
      <c r="B12" s="1" t="s">
        <v>19</v>
      </c>
      <c r="C12" t="s">
        <v>20</v>
      </c>
      <c r="D12" t="s">
        <v>21</v>
      </c>
      <c r="E12" t="s">
        <v>18</v>
      </c>
      <c r="F12">
        <v>5215.2</v>
      </c>
      <c r="G12" t="s">
        <v>12</v>
      </c>
      <c r="H12">
        <v>15000</v>
      </c>
      <c r="I12">
        <v>0</v>
      </c>
    </row>
    <row r="13" spans="1:16" ht="28.8" x14ac:dyDescent="0.3">
      <c r="A13" s="2">
        <v>45678</v>
      </c>
      <c r="B13" s="1" t="s">
        <v>25</v>
      </c>
      <c r="C13" t="s">
        <v>26</v>
      </c>
      <c r="D13" t="s">
        <v>27</v>
      </c>
      <c r="E13" t="s">
        <v>18</v>
      </c>
      <c r="F13">
        <v>5287.5</v>
      </c>
      <c r="G13" t="s">
        <v>10</v>
      </c>
      <c r="H13">
        <v>15000</v>
      </c>
      <c r="I13">
        <v>0</v>
      </c>
    </row>
    <row r="14" spans="1:16" ht="28.8" x14ac:dyDescent="0.3">
      <c r="A14" s="2">
        <v>45678</v>
      </c>
      <c r="B14" s="1" t="s">
        <v>15</v>
      </c>
      <c r="C14" t="s">
        <v>16</v>
      </c>
      <c r="D14" t="s">
        <v>17</v>
      </c>
      <c r="E14" t="s">
        <v>18</v>
      </c>
      <c r="F14">
        <v>5572.3</v>
      </c>
      <c r="G14" t="s">
        <v>9</v>
      </c>
      <c r="H14">
        <v>15000</v>
      </c>
      <c r="I14">
        <v>0</v>
      </c>
    </row>
    <row r="15" spans="1:16" ht="43.2" x14ac:dyDescent="0.3">
      <c r="A15" s="2">
        <v>45682</v>
      </c>
      <c r="B15" s="1" t="s">
        <v>68</v>
      </c>
      <c r="C15" t="s">
        <v>69</v>
      </c>
      <c r="D15" t="s">
        <v>70</v>
      </c>
      <c r="E15" t="s">
        <v>18</v>
      </c>
      <c r="F15">
        <v>6796.8</v>
      </c>
      <c r="G15" t="s">
        <v>9</v>
      </c>
      <c r="H15">
        <v>15000</v>
      </c>
      <c r="I15">
        <v>0</v>
      </c>
    </row>
    <row r="16" spans="1:16" ht="43.2" x14ac:dyDescent="0.3">
      <c r="A16" s="2">
        <v>45682</v>
      </c>
      <c r="B16" s="1" t="s">
        <v>68</v>
      </c>
      <c r="C16" t="s">
        <v>69</v>
      </c>
      <c r="D16" t="s">
        <v>70</v>
      </c>
      <c r="E16" t="s">
        <v>18</v>
      </c>
      <c r="F16">
        <v>7029.9</v>
      </c>
      <c r="G16" t="s">
        <v>12</v>
      </c>
      <c r="H16">
        <v>15000</v>
      </c>
      <c r="I16">
        <v>0</v>
      </c>
    </row>
    <row r="17" spans="1:9" ht="28.8" x14ac:dyDescent="0.3">
      <c r="A17" s="2">
        <v>45682</v>
      </c>
      <c r="B17" s="1" t="s">
        <v>22</v>
      </c>
      <c r="C17" t="s">
        <v>23</v>
      </c>
      <c r="D17" t="s">
        <v>24</v>
      </c>
      <c r="E17" t="s">
        <v>18</v>
      </c>
      <c r="F17">
        <v>7199.7</v>
      </c>
      <c r="G17" t="s">
        <v>12</v>
      </c>
      <c r="H17">
        <v>15000</v>
      </c>
      <c r="I17">
        <v>0</v>
      </c>
    </row>
    <row r="18" spans="1:9" ht="28.8" x14ac:dyDescent="0.3">
      <c r="A18" s="2">
        <v>45682</v>
      </c>
      <c r="B18" s="1" t="s">
        <v>22</v>
      </c>
      <c r="C18" t="s">
        <v>23</v>
      </c>
      <c r="D18" t="s">
        <v>24</v>
      </c>
      <c r="E18" t="s">
        <v>18</v>
      </c>
      <c r="F18">
        <v>7497</v>
      </c>
      <c r="G18" t="s">
        <v>10</v>
      </c>
      <c r="H18">
        <v>15000</v>
      </c>
      <c r="I18">
        <v>0</v>
      </c>
    </row>
    <row r="19" spans="1:9" ht="28.8" x14ac:dyDescent="0.3">
      <c r="A19" s="2">
        <v>45709</v>
      </c>
      <c r="B19" s="1" t="s">
        <v>25</v>
      </c>
      <c r="C19" t="s">
        <v>26</v>
      </c>
      <c r="D19" t="s">
        <v>27</v>
      </c>
      <c r="E19" t="s">
        <v>18</v>
      </c>
      <c r="F19">
        <v>7717.5</v>
      </c>
      <c r="G19" t="s">
        <v>12</v>
      </c>
      <c r="H19">
        <v>15000</v>
      </c>
      <c r="I19">
        <v>0</v>
      </c>
    </row>
    <row r="20" spans="1:9" ht="43.2" x14ac:dyDescent="0.3">
      <c r="A20" s="2">
        <v>45709</v>
      </c>
      <c r="B20" s="1" t="s">
        <v>68</v>
      </c>
      <c r="C20" t="s">
        <v>69</v>
      </c>
      <c r="D20" t="s">
        <v>70</v>
      </c>
      <c r="E20" t="s">
        <v>18</v>
      </c>
      <c r="F20">
        <v>8188</v>
      </c>
      <c r="G20" t="s">
        <v>12</v>
      </c>
      <c r="H20">
        <v>15000</v>
      </c>
      <c r="I20">
        <v>0</v>
      </c>
    </row>
    <row r="21" spans="1:9" ht="43.2" x14ac:dyDescent="0.3">
      <c r="A21" s="2">
        <v>45709</v>
      </c>
      <c r="B21" s="1" t="s">
        <v>68</v>
      </c>
      <c r="C21" t="s">
        <v>69</v>
      </c>
      <c r="D21" t="s">
        <v>70</v>
      </c>
      <c r="E21" t="s">
        <v>18</v>
      </c>
      <c r="F21">
        <v>8625</v>
      </c>
      <c r="G21" t="s">
        <v>10</v>
      </c>
      <c r="H21">
        <v>15000</v>
      </c>
      <c r="I21">
        <v>0</v>
      </c>
    </row>
    <row r="22" spans="1:9" ht="28.8" x14ac:dyDescent="0.3">
      <c r="A22" s="2">
        <v>45709</v>
      </c>
      <c r="B22" s="1" t="s">
        <v>22</v>
      </c>
      <c r="C22" t="s">
        <v>23</v>
      </c>
      <c r="D22" t="s">
        <v>24</v>
      </c>
      <c r="E22" t="s">
        <v>18</v>
      </c>
      <c r="F22">
        <v>8683.2000000000007</v>
      </c>
      <c r="G22" t="s">
        <v>10</v>
      </c>
      <c r="H22">
        <v>15000</v>
      </c>
      <c r="I22">
        <v>0</v>
      </c>
    </row>
    <row r="23" spans="1:9" ht="28.8" x14ac:dyDescent="0.3">
      <c r="A23" s="2">
        <v>45709</v>
      </c>
      <c r="B23" s="1" t="s">
        <v>19</v>
      </c>
      <c r="C23" t="s">
        <v>20</v>
      </c>
      <c r="D23" t="s">
        <v>21</v>
      </c>
      <c r="E23" t="s">
        <v>18</v>
      </c>
      <c r="F23">
        <v>8686.6</v>
      </c>
      <c r="G23" t="s">
        <v>10</v>
      </c>
      <c r="H23">
        <v>15000</v>
      </c>
      <c r="I23">
        <v>0</v>
      </c>
    </row>
    <row r="24" spans="1:9" ht="28.8" x14ac:dyDescent="0.3">
      <c r="A24" s="2">
        <v>45713</v>
      </c>
      <c r="B24" s="1" t="s">
        <v>15</v>
      </c>
      <c r="C24" t="s">
        <v>16</v>
      </c>
      <c r="D24" t="s">
        <v>17</v>
      </c>
      <c r="E24" t="s">
        <v>18</v>
      </c>
      <c r="F24">
        <v>8810.9</v>
      </c>
      <c r="G24" t="s">
        <v>9</v>
      </c>
      <c r="H24">
        <v>15000</v>
      </c>
      <c r="I24">
        <v>0</v>
      </c>
    </row>
    <row r="25" spans="1:9" ht="28.8" x14ac:dyDescent="0.3">
      <c r="A25" s="2">
        <v>45713</v>
      </c>
      <c r="B25" s="1" t="s">
        <v>22</v>
      </c>
      <c r="C25" t="s">
        <v>23</v>
      </c>
      <c r="D25" t="s">
        <v>24</v>
      </c>
      <c r="E25" t="s">
        <v>18</v>
      </c>
      <c r="F25">
        <v>9058.4</v>
      </c>
      <c r="G25" t="s">
        <v>9</v>
      </c>
      <c r="H25">
        <v>15000</v>
      </c>
      <c r="I25">
        <v>0</v>
      </c>
    </row>
    <row r="26" spans="1:9" ht="28.8" x14ac:dyDescent="0.3">
      <c r="A26" s="2">
        <v>45713</v>
      </c>
      <c r="B26" s="1" t="s">
        <v>22</v>
      </c>
      <c r="C26" t="s">
        <v>23</v>
      </c>
      <c r="D26" t="s">
        <v>24</v>
      </c>
      <c r="E26" t="s">
        <v>18</v>
      </c>
      <c r="F26">
        <v>9499</v>
      </c>
      <c r="G26" t="s">
        <v>10</v>
      </c>
      <c r="H26">
        <v>15000</v>
      </c>
      <c r="I26">
        <v>0</v>
      </c>
    </row>
    <row r="27" spans="1:9" ht="28.8" x14ac:dyDescent="0.3">
      <c r="A27" s="2">
        <v>45713</v>
      </c>
      <c r="B27" s="1" t="s">
        <v>19</v>
      </c>
      <c r="C27" t="s">
        <v>20</v>
      </c>
      <c r="D27" t="s">
        <v>21</v>
      </c>
      <c r="E27" t="s">
        <v>18</v>
      </c>
      <c r="F27">
        <v>9651.2000000000007</v>
      </c>
      <c r="G27" t="s">
        <v>9</v>
      </c>
      <c r="H27">
        <v>15000</v>
      </c>
      <c r="I27">
        <v>0</v>
      </c>
    </row>
    <row r="28" spans="1:9" ht="28.8" x14ac:dyDescent="0.3">
      <c r="A28" s="2">
        <v>45713</v>
      </c>
      <c r="B28" s="1" t="s">
        <v>22</v>
      </c>
      <c r="C28" t="s">
        <v>23</v>
      </c>
      <c r="D28" t="s">
        <v>24</v>
      </c>
      <c r="E28" t="s">
        <v>18</v>
      </c>
      <c r="F28">
        <v>9794</v>
      </c>
      <c r="G28" t="s">
        <v>10</v>
      </c>
      <c r="H28">
        <v>15000</v>
      </c>
      <c r="I28">
        <v>0</v>
      </c>
    </row>
    <row r="29" spans="1:9" ht="28.8" x14ac:dyDescent="0.3">
      <c r="A29" s="2">
        <v>45737</v>
      </c>
      <c r="B29" s="1" t="s">
        <v>15</v>
      </c>
      <c r="C29" t="s">
        <v>16</v>
      </c>
      <c r="D29" t="s">
        <v>17</v>
      </c>
      <c r="E29" t="s">
        <v>18</v>
      </c>
      <c r="F29">
        <v>10492.2</v>
      </c>
      <c r="G29" t="s">
        <v>12</v>
      </c>
      <c r="H29">
        <v>15000</v>
      </c>
      <c r="I29">
        <v>0</v>
      </c>
    </row>
    <row r="30" spans="1:9" ht="28.8" x14ac:dyDescent="0.3">
      <c r="A30" s="2">
        <v>45737</v>
      </c>
      <c r="B30" s="1" t="s">
        <v>15</v>
      </c>
      <c r="C30" t="s">
        <v>16</v>
      </c>
      <c r="D30" t="s">
        <v>17</v>
      </c>
      <c r="E30" t="s">
        <v>18</v>
      </c>
      <c r="F30">
        <v>11210</v>
      </c>
      <c r="G30" t="s">
        <v>12</v>
      </c>
      <c r="H30">
        <v>15000</v>
      </c>
      <c r="I30">
        <v>0</v>
      </c>
    </row>
    <row r="31" spans="1:9" ht="28.8" x14ac:dyDescent="0.3">
      <c r="A31" s="2">
        <v>45737</v>
      </c>
      <c r="B31" s="1" t="s">
        <v>25</v>
      </c>
      <c r="C31" t="s">
        <v>26</v>
      </c>
      <c r="D31" t="s">
        <v>27</v>
      </c>
      <c r="E31" t="s">
        <v>18</v>
      </c>
      <c r="F31">
        <v>11617.6</v>
      </c>
      <c r="G31" t="s">
        <v>10</v>
      </c>
      <c r="H31">
        <v>15000</v>
      </c>
      <c r="I31">
        <v>0</v>
      </c>
    </row>
    <row r="32" spans="1:9" ht="43.2" x14ac:dyDescent="0.3">
      <c r="A32" s="2">
        <v>45737</v>
      </c>
      <c r="B32" s="1" t="s">
        <v>68</v>
      </c>
      <c r="C32" t="s">
        <v>69</v>
      </c>
      <c r="D32" t="s">
        <v>70</v>
      </c>
      <c r="E32" t="s">
        <v>18</v>
      </c>
      <c r="F32">
        <v>11914.4</v>
      </c>
      <c r="G32" t="s">
        <v>10</v>
      </c>
      <c r="H32">
        <v>15000</v>
      </c>
      <c r="I32">
        <v>0</v>
      </c>
    </row>
    <row r="33" spans="1:9" ht="43.2" x14ac:dyDescent="0.3">
      <c r="A33" s="2">
        <v>45737</v>
      </c>
      <c r="B33" s="1" t="s">
        <v>68</v>
      </c>
      <c r="C33" t="s">
        <v>69</v>
      </c>
      <c r="D33" t="s">
        <v>70</v>
      </c>
      <c r="E33" t="s">
        <v>18</v>
      </c>
      <c r="F33">
        <v>12096</v>
      </c>
      <c r="G33" t="s">
        <v>12</v>
      </c>
      <c r="H33">
        <v>15000</v>
      </c>
      <c r="I33">
        <v>0</v>
      </c>
    </row>
    <row r="34" spans="1:9" ht="28.8" x14ac:dyDescent="0.3">
      <c r="A34" s="2">
        <v>45768</v>
      </c>
      <c r="B34" s="1" t="s">
        <v>22</v>
      </c>
      <c r="C34" t="s">
        <v>23</v>
      </c>
      <c r="D34" t="s">
        <v>24</v>
      </c>
      <c r="E34" t="s">
        <v>18</v>
      </c>
      <c r="F34">
        <v>12422.2</v>
      </c>
      <c r="G34" t="s">
        <v>12</v>
      </c>
      <c r="H34">
        <v>15000</v>
      </c>
      <c r="I34">
        <v>0</v>
      </c>
    </row>
    <row r="35" spans="1:9" ht="28.8" x14ac:dyDescent="0.3">
      <c r="A35" s="2">
        <v>45768</v>
      </c>
      <c r="B35" s="1" t="s">
        <v>22</v>
      </c>
      <c r="C35" t="s">
        <v>23</v>
      </c>
      <c r="D35" t="s">
        <v>24</v>
      </c>
      <c r="E35" t="s">
        <v>18</v>
      </c>
      <c r="F35">
        <v>12633.6</v>
      </c>
      <c r="G35" t="s">
        <v>10</v>
      </c>
      <c r="H35">
        <v>15000</v>
      </c>
      <c r="I35">
        <v>0</v>
      </c>
    </row>
    <row r="36" spans="1:9" ht="28.8" x14ac:dyDescent="0.3">
      <c r="A36" s="2">
        <v>45768</v>
      </c>
      <c r="B36" s="1" t="s">
        <v>25</v>
      </c>
      <c r="C36" t="s">
        <v>26</v>
      </c>
      <c r="D36" t="s">
        <v>27</v>
      </c>
      <c r="E36" t="s">
        <v>18</v>
      </c>
      <c r="F36">
        <v>12765.2</v>
      </c>
      <c r="G36" t="s">
        <v>12</v>
      </c>
      <c r="H36">
        <v>15000</v>
      </c>
      <c r="I36">
        <v>0</v>
      </c>
    </row>
    <row r="37" spans="1:9" ht="28.8" x14ac:dyDescent="0.3">
      <c r="A37" s="2">
        <v>45768</v>
      </c>
      <c r="B37" s="1" t="s">
        <v>25</v>
      </c>
      <c r="C37" t="s">
        <v>26</v>
      </c>
      <c r="D37" t="s">
        <v>27</v>
      </c>
      <c r="E37" t="s">
        <v>18</v>
      </c>
      <c r="F37">
        <v>12806.4</v>
      </c>
      <c r="G37" t="s">
        <v>12</v>
      </c>
      <c r="H37">
        <v>15000</v>
      </c>
      <c r="I37">
        <v>0</v>
      </c>
    </row>
    <row r="38" spans="1:9" ht="28.8" x14ac:dyDescent="0.3">
      <c r="A38" s="2">
        <v>45768</v>
      </c>
      <c r="B38" s="1" t="s">
        <v>22</v>
      </c>
      <c r="C38" t="s">
        <v>23</v>
      </c>
      <c r="D38" t="s">
        <v>24</v>
      </c>
      <c r="E38" t="s">
        <v>18</v>
      </c>
      <c r="F38">
        <v>13797</v>
      </c>
      <c r="G38" t="s">
        <v>9</v>
      </c>
      <c r="H38">
        <v>15000</v>
      </c>
      <c r="I38">
        <v>0</v>
      </c>
    </row>
    <row r="39" spans="1:9" ht="43.2" x14ac:dyDescent="0.3">
      <c r="A39" s="2">
        <v>45768</v>
      </c>
      <c r="B39" s="1" t="s">
        <v>68</v>
      </c>
      <c r="C39" t="s">
        <v>69</v>
      </c>
      <c r="D39" t="s">
        <v>70</v>
      </c>
      <c r="E39" t="s">
        <v>18</v>
      </c>
      <c r="F39">
        <v>14063</v>
      </c>
      <c r="G39" t="s">
        <v>10</v>
      </c>
      <c r="H39">
        <v>15000</v>
      </c>
      <c r="I39">
        <v>0</v>
      </c>
    </row>
    <row r="40" spans="1:9" ht="28.8" x14ac:dyDescent="0.3">
      <c r="A40" s="2">
        <v>45768</v>
      </c>
      <c r="B40" s="1" t="s">
        <v>22</v>
      </c>
      <c r="C40" t="s">
        <v>23</v>
      </c>
      <c r="D40" t="s">
        <v>24</v>
      </c>
      <c r="E40" t="s">
        <v>18</v>
      </c>
      <c r="F40">
        <v>14608.3</v>
      </c>
      <c r="G40" t="s">
        <v>9</v>
      </c>
      <c r="H40">
        <v>15000</v>
      </c>
      <c r="I40">
        <v>0</v>
      </c>
    </row>
    <row r="41" spans="1:9" ht="43.2" x14ac:dyDescent="0.3">
      <c r="A41" s="2">
        <v>45768</v>
      </c>
      <c r="B41" s="1" t="s">
        <v>68</v>
      </c>
      <c r="C41" t="s">
        <v>69</v>
      </c>
      <c r="D41" t="s">
        <v>70</v>
      </c>
      <c r="E41" t="s">
        <v>18</v>
      </c>
      <c r="F41">
        <v>14670</v>
      </c>
      <c r="G41" t="s">
        <v>9</v>
      </c>
      <c r="H41">
        <v>15000</v>
      </c>
      <c r="I41">
        <v>0</v>
      </c>
    </row>
    <row r="42" spans="1:9" ht="28.8" x14ac:dyDescent="0.3">
      <c r="A42" s="2">
        <v>45772</v>
      </c>
      <c r="B42" s="1" t="s">
        <v>15</v>
      </c>
      <c r="C42" t="s">
        <v>16</v>
      </c>
      <c r="D42" t="s">
        <v>17</v>
      </c>
      <c r="E42" t="s">
        <v>18</v>
      </c>
      <c r="F42">
        <v>15029</v>
      </c>
      <c r="G42" t="s">
        <v>10</v>
      </c>
      <c r="H42">
        <v>15000</v>
      </c>
      <c r="I42">
        <v>1502.9</v>
      </c>
    </row>
    <row r="43" spans="1:9" ht="28.8" x14ac:dyDescent="0.3">
      <c r="A43" s="2">
        <v>45772</v>
      </c>
      <c r="B43" s="1" t="s">
        <v>25</v>
      </c>
      <c r="C43" t="s">
        <v>26</v>
      </c>
      <c r="D43" t="s">
        <v>27</v>
      </c>
      <c r="E43" t="s">
        <v>18</v>
      </c>
      <c r="F43">
        <v>15120</v>
      </c>
      <c r="G43" t="s">
        <v>10</v>
      </c>
      <c r="H43">
        <v>15000</v>
      </c>
      <c r="I43">
        <v>1512</v>
      </c>
    </row>
    <row r="44" spans="1:9" ht="28.8" x14ac:dyDescent="0.3">
      <c r="A44" s="2">
        <v>45772</v>
      </c>
      <c r="B44" s="1" t="s">
        <v>15</v>
      </c>
      <c r="C44" t="s">
        <v>16</v>
      </c>
      <c r="D44" t="s">
        <v>17</v>
      </c>
      <c r="E44" t="s">
        <v>18</v>
      </c>
      <c r="F44">
        <v>15264</v>
      </c>
      <c r="G44" t="s">
        <v>10</v>
      </c>
      <c r="H44">
        <v>15000</v>
      </c>
      <c r="I44">
        <v>1526.4</v>
      </c>
    </row>
    <row r="45" spans="1:9" ht="28.8" x14ac:dyDescent="0.3">
      <c r="A45" s="2">
        <v>45772</v>
      </c>
      <c r="B45" s="1" t="s">
        <v>15</v>
      </c>
      <c r="C45" t="s">
        <v>16</v>
      </c>
      <c r="D45" t="s">
        <v>17</v>
      </c>
      <c r="E45" t="s">
        <v>18</v>
      </c>
      <c r="F45">
        <v>15919.7</v>
      </c>
      <c r="G45" t="s">
        <v>9</v>
      </c>
      <c r="H45">
        <v>15000</v>
      </c>
      <c r="I45">
        <v>1591.9700000000003</v>
      </c>
    </row>
    <row r="46" spans="1:9" ht="28.8" x14ac:dyDescent="0.3">
      <c r="A46" s="2">
        <v>45772</v>
      </c>
      <c r="B46" s="1" t="s">
        <v>19</v>
      </c>
      <c r="C46" t="s">
        <v>20</v>
      </c>
      <c r="D46" t="s">
        <v>21</v>
      </c>
      <c r="E46" t="s">
        <v>18</v>
      </c>
      <c r="F46">
        <v>15922</v>
      </c>
      <c r="G46" t="s">
        <v>12</v>
      </c>
      <c r="H46">
        <v>15000</v>
      </c>
      <c r="I46">
        <v>1592.2</v>
      </c>
    </row>
    <row r="47" spans="1:9" ht="28.8" x14ac:dyDescent="0.3">
      <c r="A47" s="2">
        <v>45798</v>
      </c>
      <c r="B47" s="1" t="s">
        <v>25</v>
      </c>
      <c r="C47" t="s">
        <v>26</v>
      </c>
      <c r="D47" t="s">
        <v>27</v>
      </c>
      <c r="E47" t="s">
        <v>18</v>
      </c>
      <c r="F47">
        <v>16063.2</v>
      </c>
      <c r="G47" t="s">
        <v>10</v>
      </c>
      <c r="H47">
        <v>15000</v>
      </c>
      <c r="I47">
        <v>1606.3200000000002</v>
      </c>
    </row>
    <row r="48" spans="1:9" ht="43.2" x14ac:dyDescent="0.3">
      <c r="A48" s="2">
        <v>45798</v>
      </c>
      <c r="B48" s="1" t="s">
        <v>68</v>
      </c>
      <c r="C48" t="s">
        <v>69</v>
      </c>
      <c r="D48" t="s">
        <v>70</v>
      </c>
      <c r="E48" t="s">
        <v>18</v>
      </c>
      <c r="F48">
        <v>16321.6</v>
      </c>
      <c r="G48" t="s">
        <v>9</v>
      </c>
      <c r="H48">
        <v>15000</v>
      </c>
      <c r="I48">
        <v>1632.16</v>
      </c>
    </row>
    <row r="49" spans="1:9" ht="28.8" x14ac:dyDescent="0.3">
      <c r="A49" s="2">
        <v>45798</v>
      </c>
      <c r="B49" s="1" t="s">
        <v>19</v>
      </c>
      <c r="C49" t="s">
        <v>20</v>
      </c>
      <c r="D49" t="s">
        <v>21</v>
      </c>
      <c r="E49" t="s">
        <v>18</v>
      </c>
      <c r="F49">
        <v>16604.400000000001</v>
      </c>
      <c r="G49" t="s">
        <v>12</v>
      </c>
      <c r="H49">
        <v>15000</v>
      </c>
      <c r="I49">
        <v>1660.4400000000003</v>
      </c>
    </row>
    <row r="50" spans="1:9" ht="28.8" x14ac:dyDescent="0.3">
      <c r="A50" s="2">
        <v>45798</v>
      </c>
      <c r="B50" s="1" t="s">
        <v>25</v>
      </c>
      <c r="C50" t="s">
        <v>26</v>
      </c>
      <c r="D50" t="s">
        <v>27</v>
      </c>
      <c r="E50" t="s">
        <v>18</v>
      </c>
      <c r="F50">
        <v>16606</v>
      </c>
      <c r="G50" t="s">
        <v>9</v>
      </c>
      <c r="H50">
        <v>15000</v>
      </c>
      <c r="I50">
        <v>1660.6000000000001</v>
      </c>
    </row>
    <row r="51" spans="1:9" ht="28.8" x14ac:dyDescent="0.3">
      <c r="A51" s="2">
        <v>45798</v>
      </c>
      <c r="B51" s="1" t="s">
        <v>15</v>
      </c>
      <c r="C51" t="s">
        <v>16</v>
      </c>
      <c r="D51" t="s">
        <v>17</v>
      </c>
      <c r="E51" t="s">
        <v>18</v>
      </c>
      <c r="F51">
        <v>16614.400000000001</v>
      </c>
      <c r="G51" t="s">
        <v>9</v>
      </c>
      <c r="H51">
        <v>15000</v>
      </c>
      <c r="I51">
        <v>1661.4400000000003</v>
      </c>
    </row>
    <row r="52" spans="1:9" ht="28.8" x14ac:dyDescent="0.3">
      <c r="A52" s="2">
        <v>45798</v>
      </c>
      <c r="B52" s="1" t="s">
        <v>19</v>
      </c>
      <c r="C52" t="s">
        <v>20</v>
      </c>
      <c r="D52" t="s">
        <v>21</v>
      </c>
      <c r="E52" t="s">
        <v>18</v>
      </c>
      <c r="F52">
        <v>16836</v>
      </c>
      <c r="G52" t="s">
        <v>9</v>
      </c>
      <c r="H52">
        <v>15000</v>
      </c>
      <c r="I52">
        <v>1683.6000000000001</v>
      </c>
    </row>
    <row r="53" spans="1:9" ht="28.8" x14ac:dyDescent="0.3">
      <c r="A53" s="2">
        <v>45798</v>
      </c>
      <c r="B53" s="1" t="s">
        <v>15</v>
      </c>
      <c r="C53" t="s">
        <v>16</v>
      </c>
      <c r="D53" t="s">
        <v>17</v>
      </c>
      <c r="E53" t="s">
        <v>18</v>
      </c>
      <c r="F53">
        <v>17353.599999999999</v>
      </c>
      <c r="G53" t="s">
        <v>9</v>
      </c>
      <c r="H53">
        <v>15000</v>
      </c>
      <c r="I53">
        <v>1735.36</v>
      </c>
    </row>
    <row r="54" spans="1:9" ht="28.8" x14ac:dyDescent="0.3">
      <c r="A54" s="2">
        <v>45798</v>
      </c>
      <c r="B54" s="1" t="s">
        <v>19</v>
      </c>
      <c r="C54" t="s">
        <v>20</v>
      </c>
      <c r="D54" t="s">
        <v>21</v>
      </c>
      <c r="E54" t="s">
        <v>18</v>
      </c>
      <c r="F54">
        <v>17766</v>
      </c>
      <c r="G54" t="s">
        <v>9</v>
      </c>
      <c r="H54">
        <v>15000</v>
      </c>
      <c r="I54">
        <v>1776.6000000000001</v>
      </c>
    </row>
    <row r="55" spans="1:9" ht="28.8" x14ac:dyDescent="0.3">
      <c r="A55" s="2">
        <v>45798</v>
      </c>
      <c r="B55" s="1" t="s">
        <v>22</v>
      </c>
      <c r="C55" t="s">
        <v>23</v>
      </c>
      <c r="D55" t="s">
        <v>24</v>
      </c>
      <c r="E55" t="s">
        <v>18</v>
      </c>
      <c r="F55">
        <v>17776</v>
      </c>
      <c r="G55" t="s">
        <v>12</v>
      </c>
      <c r="H55">
        <v>15000</v>
      </c>
      <c r="I55">
        <v>1777.6000000000001</v>
      </c>
    </row>
    <row r="56" spans="1:9" ht="28.8" x14ac:dyDescent="0.3">
      <c r="A56" s="2">
        <v>45798</v>
      </c>
      <c r="B56" s="1" t="s">
        <v>22</v>
      </c>
      <c r="C56" t="s">
        <v>23</v>
      </c>
      <c r="D56" t="s">
        <v>24</v>
      </c>
      <c r="E56" t="s">
        <v>18</v>
      </c>
      <c r="F56">
        <v>17904.7</v>
      </c>
      <c r="G56" t="s">
        <v>12</v>
      </c>
      <c r="H56">
        <v>15000</v>
      </c>
      <c r="I56">
        <v>1790.4700000000003</v>
      </c>
    </row>
    <row r="57" spans="1:9" ht="28.8" x14ac:dyDescent="0.3">
      <c r="A57" s="2">
        <v>45798</v>
      </c>
      <c r="B57" s="1" t="s">
        <v>15</v>
      </c>
      <c r="C57" t="s">
        <v>16</v>
      </c>
      <c r="D57" t="s">
        <v>17</v>
      </c>
      <c r="E57" t="s">
        <v>18</v>
      </c>
      <c r="F57">
        <v>18396.7</v>
      </c>
      <c r="G57" t="s">
        <v>9</v>
      </c>
      <c r="H57">
        <v>15000</v>
      </c>
      <c r="I57">
        <v>1839.67</v>
      </c>
    </row>
    <row r="58" spans="1:9" ht="28.8" x14ac:dyDescent="0.3">
      <c r="A58" s="2">
        <v>45829</v>
      </c>
      <c r="B58" s="1" t="s">
        <v>22</v>
      </c>
      <c r="C58" t="s">
        <v>23</v>
      </c>
      <c r="D58" t="s">
        <v>24</v>
      </c>
      <c r="E58" t="s">
        <v>18</v>
      </c>
      <c r="F58">
        <v>18878.400000000001</v>
      </c>
      <c r="G58" t="s">
        <v>10</v>
      </c>
      <c r="H58">
        <v>15000</v>
      </c>
      <c r="I58">
        <v>1887.8400000000001</v>
      </c>
    </row>
    <row r="59" spans="1:9" ht="28.8" x14ac:dyDescent="0.3">
      <c r="A59" s="2">
        <v>45829</v>
      </c>
      <c r="B59" s="1" t="s">
        <v>19</v>
      </c>
      <c r="C59" t="s">
        <v>20</v>
      </c>
      <c r="D59" t="s">
        <v>21</v>
      </c>
      <c r="E59" t="s">
        <v>18</v>
      </c>
      <c r="F59">
        <v>19431</v>
      </c>
      <c r="G59" t="s">
        <v>10</v>
      </c>
      <c r="H59">
        <v>15000</v>
      </c>
      <c r="I59">
        <v>1943.1000000000001</v>
      </c>
    </row>
    <row r="60" spans="1:9" ht="28.8" x14ac:dyDescent="0.3">
      <c r="A60" s="2">
        <v>45829</v>
      </c>
      <c r="B60" s="1" t="s">
        <v>22</v>
      </c>
      <c r="C60" t="s">
        <v>23</v>
      </c>
      <c r="D60" t="s">
        <v>24</v>
      </c>
      <c r="E60" t="s">
        <v>18</v>
      </c>
      <c r="F60">
        <v>19584</v>
      </c>
      <c r="G60" t="s">
        <v>10</v>
      </c>
      <c r="H60">
        <v>15000</v>
      </c>
      <c r="I60">
        <v>1958.4</v>
      </c>
    </row>
    <row r="61" spans="1:9" ht="28.8" x14ac:dyDescent="0.3">
      <c r="A61" s="2">
        <v>45829</v>
      </c>
      <c r="B61" s="1" t="s">
        <v>25</v>
      </c>
      <c r="C61" t="s">
        <v>26</v>
      </c>
      <c r="D61" t="s">
        <v>27</v>
      </c>
      <c r="E61" t="s">
        <v>18</v>
      </c>
      <c r="F61">
        <v>19594</v>
      </c>
      <c r="G61" t="s">
        <v>12</v>
      </c>
      <c r="H61">
        <v>15000</v>
      </c>
      <c r="I61">
        <v>1959.4</v>
      </c>
    </row>
    <row r="62" spans="1:9" ht="28.8" x14ac:dyDescent="0.3">
      <c r="A62" s="2">
        <v>45829</v>
      </c>
      <c r="B62" s="1" t="s">
        <v>22</v>
      </c>
      <c r="C62" t="s">
        <v>23</v>
      </c>
      <c r="D62" t="s">
        <v>24</v>
      </c>
      <c r="E62" t="s">
        <v>18</v>
      </c>
      <c r="F62">
        <v>19678.8</v>
      </c>
      <c r="G62" t="s">
        <v>10</v>
      </c>
      <c r="H62">
        <v>15000</v>
      </c>
      <c r="I62">
        <v>1967.88</v>
      </c>
    </row>
    <row r="63" spans="1:9" ht="28.8" x14ac:dyDescent="0.3">
      <c r="A63" s="2">
        <v>45829</v>
      </c>
      <c r="B63" s="1" t="s">
        <v>19</v>
      </c>
      <c r="C63" t="s">
        <v>20</v>
      </c>
      <c r="D63" t="s">
        <v>21</v>
      </c>
      <c r="E63" t="s">
        <v>18</v>
      </c>
      <c r="F63">
        <v>20031.2</v>
      </c>
      <c r="G63" t="s">
        <v>12</v>
      </c>
      <c r="H63">
        <v>15000</v>
      </c>
      <c r="I63">
        <v>2003.1200000000001</v>
      </c>
    </row>
    <row r="64" spans="1:9" ht="43.2" x14ac:dyDescent="0.3">
      <c r="A64" s="2">
        <v>45829</v>
      </c>
      <c r="B64" s="1" t="s">
        <v>68</v>
      </c>
      <c r="C64" t="s">
        <v>69</v>
      </c>
      <c r="D64" t="s">
        <v>70</v>
      </c>
      <c r="E64" t="s">
        <v>18</v>
      </c>
      <c r="F64">
        <v>20076.7</v>
      </c>
      <c r="G64" t="s">
        <v>12</v>
      </c>
      <c r="H64">
        <v>15000</v>
      </c>
      <c r="I64">
        <v>2007.67</v>
      </c>
    </row>
    <row r="65" spans="1:9" ht="28.8" x14ac:dyDescent="0.3">
      <c r="A65" s="2">
        <v>45829</v>
      </c>
      <c r="B65" s="1" t="s">
        <v>19</v>
      </c>
      <c r="C65" t="s">
        <v>20</v>
      </c>
      <c r="D65" t="s">
        <v>21</v>
      </c>
      <c r="E65" t="s">
        <v>18</v>
      </c>
      <c r="F65">
        <v>20140</v>
      </c>
      <c r="G65" t="s">
        <v>12</v>
      </c>
      <c r="H65">
        <v>15000</v>
      </c>
      <c r="I65">
        <v>2014</v>
      </c>
    </row>
    <row r="66" spans="1:9" ht="28.8" x14ac:dyDescent="0.3">
      <c r="A66" s="2">
        <v>45829</v>
      </c>
      <c r="B66" s="1" t="s">
        <v>22</v>
      </c>
      <c r="C66" t="s">
        <v>23</v>
      </c>
      <c r="D66" t="s">
        <v>24</v>
      </c>
      <c r="E66" t="s">
        <v>18</v>
      </c>
      <c r="F66">
        <v>20916</v>
      </c>
      <c r="G66" t="s">
        <v>9</v>
      </c>
      <c r="H66">
        <v>15000</v>
      </c>
      <c r="I66">
        <v>2091.6</v>
      </c>
    </row>
    <row r="67" spans="1:9" ht="28.8" x14ac:dyDescent="0.3">
      <c r="A67" s="2">
        <v>45833</v>
      </c>
      <c r="B67" s="1" t="s">
        <v>15</v>
      </c>
      <c r="C67" t="s">
        <v>16</v>
      </c>
      <c r="D67" t="s">
        <v>17</v>
      </c>
      <c r="E67" t="s">
        <v>18</v>
      </c>
      <c r="F67">
        <v>21169.599999999999</v>
      </c>
      <c r="G67" t="s">
        <v>10</v>
      </c>
      <c r="H67">
        <v>15000</v>
      </c>
      <c r="I67">
        <v>2116.96</v>
      </c>
    </row>
    <row r="68" spans="1:9" ht="28.8" x14ac:dyDescent="0.3">
      <c r="A68" s="2">
        <v>45859</v>
      </c>
      <c r="B68" s="1" t="s">
        <v>22</v>
      </c>
      <c r="C68" t="s">
        <v>23</v>
      </c>
      <c r="D68" t="s">
        <v>24</v>
      </c>
      <c r="E68" t="s">
        <v>18</v>
      </c>
      <c r="F68">
        <v>21483</v>
      </c>
      <c r="G68" t="s">
        <v>12</v>
      </c>
      <c r="H68">
        <v>15000</v>
      </c>
      <c r="I68">
        <v>2148.3000000000002</v>
      </c>
    </row>
    <row r="69" spans="1:9" ht="28.8" x14ac:dyDescent="0.3">
      <c r="A69" s="2">
        <v>45859</v>
      </c>
      <c r="B69" s="1" t="s">
        <v>15</v>
      </c>
      <c r="C69" t="s">
        <v>16</v>
      </c>
      <c r="D69" t="s">
        <v>17</v>
      </c>
      <c r="E69" t="s">
        <v>18</v>
      </c>
      <c r="F69">
        <v>21485.200000000001</v>
      </c>
      <c r="G69" t="s">
        <v>10</v>
      </c>
      <c r="H69">
        <v>15000</v>
      </c>
      <c r="I69">
        <v>2148.52</v>
      </c>
    </row>
    <row r="70" spans="1:9" ht="28.8" x14ac:dyDescent="0.3">
      <c r="A70" s="2">
        <v>45859</v>
      </c>
      <c r="B70" s="1" t="s">
        <v>19</v>
      </c>
      <c r="C70" t="s">
        <v>20</v>
      </c>
      <c r="D70" t="s">
        <v>21</v>
      </c>
      <c r="E70" t="s">
        <v>18</v>
      </c>
      <c r="F70">
        <v>21654.400000000001</v>
      </c>
      <c r="G70" t="s">
        <v>10</v>
      </c>
      <c r="H70">
        <v>15000</v>
      </c>
      <c r="I70">
        <v>2165.44</v>
      </c>
    </row>
    <row r="71" spans="1:9" ht="28.8" x14ac:dyDescent="0.3">
      <c r="A71" s="2">
        <v>45859</v>
      </c>
      <c r="B71" s="1" t="s">
        <v>22</v>
      </c>
      <c r="C71" t="s">
        <v>23</v>
      </c>
      <c r="D71" t="s">
        <v>24</v>
      </c>
      <c r="E71" t="s">
        <v>18</v>
      </c>
      <c r="F71">
        <v>22396.5</v>
      </c>
      <c r="G71" t="s">
        <v>12</v>
      </c>
      <c r="H71">
        <v>15000</v>
      </c>
      <c r="I71">
        <v>2239.65</v>
      </c>
    </row>
    <row r="72" spans="1:9" ht="43.2" x14ac:dyDescent="0.3">
      <c r="A72" s="2">
        <v>45859</v>
      </c>
      <c r="B72" s="1" t="s">
        <v>68</v>
      </c>
      <c r="C72" t="s">
        <v>69</v>
      </c>
      <c r="D72" t="s">
        <v>70</v>
      </c>
      <c r="E72" t="s">
        <v>18</v>
      </c>
      <c r="F72">
        <v>22607.200000000001</v>
      </c>
      <c r="G72" t="s">
        <v>9</v>
      </c>
      <c r="H72">
        <v>15000</v>
      </c>
      <c r="I72">
        <v>2260.7200000000003</v>
      </c>
    </row>
    <row r="73" spans="1:9" ht="28.8" x14ac:dyDescent="0.3">
      <c r="A73" s="2">
        <v>45859</v>
      </c>
      <c r="B73" s="1" t="s">
        <v>22</v>
      </c>
      <c r="C73" t="s">
        <v>23</v>
      </c>
      <c r="D73" t="s">
        <v>24</v>
      </c>
      <c r="E73" t="s">
        <v>18</v>
      </c>
      <c r="F73">
        <v>23445</v>
      </c>
      <c r="G73" t="s">
        <v>10</v>
      </c>
      <c r="H73">
        <v>15000</v>
      </c>
      <c r="I73">
        <v>2344.5</v>
      </c>
    </row>
    <row r="74" spans="1:9" ht="28.8" x14ac:dyDescent="0.3">
      <c r="A74" s="2">
        <v>45859</v>
      </c>
      <c r="B74" s="1" t="s">
        <v>19</v>
      </c>
      <c r="C74" t="s">
        <v>20</v>
      </c>
      <c r="D74" t="s">
        <v>21</v>
      </c>
      <c r="E74" t="s">
        <v>18</v>
      </c>
      <c r="F74">
        <v>23849.599999999999</v>
      </c>
      <c r="G74" t="s">
        <v>9</v>
      </c>
      <c r="H74">
        <v>15000</v>
      </c>
      <c r="I74">
        <v>2384.96</v>
      </c>
    </row>
    <row r="75" spans="1:9" ht="43.2" x14ac:dyDescent="0.3">
      <c r="A75" s="2">
        <v>45859</v>
      </c>
      <c r="B75" s="1" t="s">
        <v>68</v>
      </c>
      <c r="C75" t="s">
        <v>69</v>
      </c>
      <c r="D75" t="s">
        <v>70</v>
      </c>
      <c r="E75" t="s">
        <v>18</v>
      </c>
      <c r="F75">
        <v>23882.400000000001</v>
      </c>
      <c r="G75" t="s">
        <v>12</v>
      </c>
      <c r="H75">
        <v>15000</v>
      </c>
      <c r="I75">
        <v>2388.2400000000002</v>
      </c>
    </row>
    <row r="76" spans="1:9" ht="28.8" x14ac:dyDescent="0.3">
      <c r="A76" s="2">
        <v>45859</v>
      </c>
      <c r="B76" s="1" t="s">
        <v>19</v>
      </c>
      <c r="C76" t="s">
        <v>20</v>
      </c>
      <c r="D76" t="s">
        <v>21</v>
      </c>
      <c r="E76" t="s">
        <v>18</v>
      </c>
      <c r="F76">
        <v>25633.5</v>
      </c>
      <c r="G76" t="s">
        <v>10</v>
      </c>
      <c r="H76">
        <v>15000</v>
      </c>
      <c r="I76">
        <v>2563.3500000000004</v>
      </c>
    </row>
    <row r="77" spans="1:9" ht="28.8" x14ac:dyDescent="0.3">
      <c r="A77" s="2">
        <v>45890</v>
      </c>
      <c r="B77" s="1" t="s">
        <v>15</v>
      </c>
      <c r="C77" t="s">
        <v>16</v>
      </c>
      <c r="D77" t="s">
        <v>17</v>
      </c>
      <c r="E77" t="s">
        <v>18</v>
      </c>
      <c r="F77">
        <v>26546.6</v>
      </c>
      <c r="G77" t="s">
        <v>10</v>
      </c>
      <c r="H77">
        <v>15000</v>
      </c>
      <c r="I77">
        <v>2654.66</v>
      </c>
    </row>
    <row r="78" spans="1:9" ht="43.2" x14ac:dyDescent="0.3">
      <c r="A78" s="2">
        <v>45890</v>
      </c>
      <c r="B78" s="1" t="s">
        <v>68</v>
      </c>
      <c r="C78" t="s">
        <v>69</v>
      </c>
      <c r="D78" t="s">
        <v>70</v>
      </c>
      <c r="E78" t="s">
        <v>18</v>
      </c>
      <c r="F78">
        <v>27930</v>
      </c>
      <c r="G78" t="s">
        <v>9</v>
      </c>
      <c r="H78">
        <v>15000</v>
      </c>
      <c r="I78">
        <v>2793</v>
      </c>
    </row>
    <row r="79" spans="1:9" ht="28.8" x14ac:dyDescent="0.3">
      <c r="A79" s="2">
        <v>45890</v>
      </c>
      <c r="B79" s="1" t="s">
        <v>22</v>
      </c>
      <c r="C79" t="s">
        <v>23</v>
      </c>
      <c r="D79" t="s">
        <v>24</v>
      </c>
      <c r="E79" t="s">
        <v>18</v>
      </c>
      <c r="F79">
        <v>29158.400000000001</v>
      </c>
      <c r="G79" t="s">
        <v>10</v>
      </c>
      <c r="H79">
        <v>15000</v>
      </c>
      <c r="I79">
        <v>2915.84</v>
      </c>
    </row>
    <row r="80" spans="1:9" ht="28.8" x14ac:dyDescent="0.3">
      <c r="A80" s="2">
        <v>45890</v>
      </c>
      <c r="B80" s="1" t="s">
        <v>19</v>
      </c>
      <c r="C80" t="s">
        <v>20</v>
      </c>
      <c r="D80" t="s">
        <v>21</v>
      </c>
      <c r="E80" t="s">
        <v>18</v>
      </c>
      <c r="F80">
        <v>30305</v>
      </c>
      <c r="G80" t="s">
        <v>9</v>
      </c>
      <c r="H80">
        <v>15000</v>
      </c>
      <c r="I80">
        <v>3030.5</v>
      </c>
    </row>
    <row r="81" spans="1:9" ht="28.8" x14ac:dyDescent="0.3">
      <c r="A81" s="2">
        <v>45890</v>
      </c>
      <c r="B81" s="1" t="s">
        <v>25</v>
      </c>
      <c r="C81" t="s">
        <v>26</v>
      </c>
      <c r="D81" t="s">
        <v>27</v>
      </c>
      <c r="E81" t="s">
        <v>18</v>
      </c>
      <c r="F81">
        <v>30776.799999999999</v>
      </c>
      <c r="G81" t="s">
        <v>9</v>
      </c>
      <c r="H81">
        <v>15000</v>
      </c>
      <c r="I81">
        <v>3077.6800000000003</v>
      </c>
    </row>
    <row r="82" spans="1:9" ht="28.8" x14ac:dyDescent="0.3">
      <c r="A82" s="2">
        <v>45890</v>
      </c>
      <c r="B82" s="1" t="s">
        <v>15</v>
      </c>
      <c r="C82" t="s">
        <v>16</v>
      </c>
      <c r="D82" t="s">
        <v>17</v>
      </c>
      <c r="E82" t="s">
        <v>18</v>
      </c>
      <c r="F82">
        <v>31200</v>
      </c>
      <c r="G82" t="s">
        <v>10</v>
      </c>
      <c r="H82">
        <v>15000</v>
      </c>
      <c r="I82">
        <v>3120</v>
      </c>
    </row>
    <row r="83" spans="1:9" ht="28.8" x14ac:dyDescent="0.3">
      <c r="A83" s="2">
        <v>45890</v>
      </c>
      <c r="B83" s="1" t="s">
        <v>25</v>
      </c>
      <c r="C83" t="s">
        <v>26</v>
      </c>
      <c r="D83" t="s">
        <v>27</v>
      </c>
      <c r="E83" t="s">
        <v>18</v>
      </c>
      <c r="F83">
        <v>31970.799999999999</v>
      </c>
      <c r="G83" t="s">
        <v>9</v>
      </c>
      <c r="H83">
        <v>15000</v>
      </c>
      <c r="I83">
        <v>3197.08</v>
      </c>
    </row>
    <row r="84" spans="1:9" ht="43.2" x14ac:dyDescent="0.3">
      <c r="A84" s="2">
        <v>45921</v>
      </c>
      <c r="B84" s="1" t="s">
        <v>68</v>
      </c>
      <c r="C84" t="s">
        <v>69</v>
      </c>
      <c r="D84" t="s">
        <v>70</v>
      </c>
      <c r="E84" t="s">
        <v>18</v>
      </c>
      <c r="F84">
        <v>33694.800000000003</v>
      </c>
      <c r="G84" t="s">
        <v>10</v>
      </c>
      <c r="H84">
        <v>15000</v>
      </c>
      <c r="I84">
        <v>3369.4800000000005</v>
      </c>
    </row>
    <row r="85" spans="1:9" ht="28.8" x14ac:dyDescent="0.3">
      <c r="A85" s="2">
        <v>45921</v>
      </c>
      <c r="B85" s="1" t="s">
        <v>19</v>
      </c>
      <c r="C85" t="s">
        <v>20</v>
      </c>
      <c r="D85" t="s">
        <v>21</v>
      </c>
      <c r="E85" t="s">
        <v>18</v>
      </c>
      <c r="F85">
        <v>34041.300000000003</v>
      </c>
      <c r="G85" t="s">
        <v>12</v>
      </c>
      <c r="H85">
        <v>15000</v>
      </c>
      <c r="I85">
        <v>3404.1300000000006</v>
      </c>
    </row>
    <row r="86" spans="1:9" ht="28.8" x14ac:dyDescent="0.3">
      <c r="A86" s="2">
        <v>45921</v>
      </c>
      <c r="B86" s="1" t="s">
        <v>22</v>
      </c>
      <c r="C86" t="s">
        <v>23</v>
      </c>
      <c r="D86" t="s">
        <v>24</v>
      </c>
      <c r="E86" t="s">
        <v>18</v>
      </c>
      <c r="F86">
        <v>34162</v>
      </c>
      <c r="G86" t="s">
        <v>10</v>
      </c>
      <c r="H86">
        <v>15000</v>
      </c>
      <c r="I86">
        <v>3416.2000000000003</v>
      </c>
    </row>
    <row r="87" spans="1:9" ht="28.8" x14ac:dyDescent="0.3">
      <c r="A87" s="2">
        <v>45921</v>
      </c>
      <c r="B87" s="1" t="s">
        <v>19</v>
      </c>
      <c r="C87" t="s">
        <v>20</v>
      </c>
      <c r="D87" t="s">
        <v>21</v>
      </c>
      <c r="E87" t="s">
        <v>18</v>
      </c>
      <c r="F87">
        <v>35649</v>
      </c>
      <c r="G87" t="s">
        <v>9</v>
      </c>
      <c r="H87">
        <v>15000</v>
      </c>
      <c r="I87">
        <v>3564.9</v>
      </c>
    </row>
    <row r="88" spans="1:9" ht="28.8" x14ac:dyDescent="0.3">
      <c r="A88" s="2">
        <v>45921</v>
      </c>
      <c r="B88" s="1" t="s">
        <v>25</v>
      </c>
      <c r="C88" t="s">
        <v>26</v>
      </c>
      <c r="D88" t="s">
        <v>27</v>
      </c>
      <c r="E88" t="s">
        <v>18</v>
      </c>
      <c r="F88">
        <v>36666</v>
      </c>
      <c r="G88" t="s">
        <v>10</v>
      </c>
      <c r="H88">
        <v>15000</v>
      </c>
      <c r="I88">
        <v>3666.6000000000004</v>
      </c>
    </row>
    <row r="89" spans="1:9" ht="28.8" x14ac:dyDescent="0.3">
      <c r="A89" s="2">
        <v>45921</v>
      </c>
      <c r="B89" s="1" t="s">
        <v>22</v>
      </c>
      <c r="C89" t="s">
        <v>23</v>
      </c>
      <c r="D89" t="s">
        <v>24</v>
      </c>
      <c r="E89" t="s">
        <v>18</v>
      </c>
      <c r="F89">
        <v>37374.400000000001</v>
      </c>
      <c r="G89" t="s">
        <v>12</v>
      </c>
      <c r="H89">
        <v>15000</v>
      </c>
      <c r="I89">
        <v>3737.4400000000005</v>
      </c>
    </row>
    <row r="90" spans="1:9" ht="28.8" x14ac:dyDescent="0.3">
      <c r="A90" s="2">
        <v>45921</v>
      </c>
      <c r="B90" s="1" t="s">
        <v>22</v>
      </c>
      <c r="C90" t="s">
        <v>23</v>
      </c>
      <c r="D90" t="s">
        <v>24</v>
      </c>
      <c r="E90" t="s">
        <v>18</v>
      </c>
      <c r="F90">
        <v>38227.699999999997</v>
      </c>
      <c r="G90" t="s">
        <v>9</v>
      </c>
      <c r="H90">
        <v>15000</v>
      </c>
      <c r="I90">
        <v>3822.77</v>
      </c>
    </row>
    <row r="91" spans="1:9" ht="28.8" x14ac:dyDescent="0.3">
      <c r="A91" s="2">
        <v>45921</v>
      </c>
      <c r="B91" s="1" t="s">
        <v>15</v>
      </c>
      <c r="C91" t="s">
        <v>16</v>
      </c>
      <c r="D91" t="s">
        <v>17</v>
      </c>
      <c r="E91" t="s">
        <v>18</v>
      </c>
      <c r="F91">
        <v>39065.9</v>
      </c>
      <c r="G91" t="s">
        <v>10</v>
      </c>
      <c r="H91">
        <v>15000</v>
      </c>
      <c r="I91">
        <v>3906.59</v>
      </c>
    </row>
    <row r="92" spans="1:9" ht="28.8" x14ac:dyDescent="0.3">
      <c r="A92" s="2">
        <v>45921</v>
      </c>
      <c r="B92" s="1" t="s">
        <v>19</v>
      </c>
      <c r="C92" t="s">
        <v>20</v>
      </c>
      <c r="D92" t="s">
        <v>21</v>
      </c>
      <c r="E92" t="s">
        <v>18</v>
      </c>
      <c r="F92">
        <v>39236</v>
      </c>
      <c r="G92" t="s">
        <v>12</v>
      </c>
      <c r="H92">
        <v>15000</v>
      </c>
      <c r="I92">
        <v>3923.6000000000004</v>
      </c>
    </row>
    <row r="93" spans="1:9" ht="28.8" x14ac:dyDescent="0.3">
      <c r="A93" s="2">
        <v>45925</v>
      </c>
      <c r="B93" s="1" t="s">
        <v>15</v>
      </c>
      <c r="C93" t="s">
        <v>16</v>
      </c>
      <c r="D93" t="s">
        <v>17</v>
      </c>
      <c r="E93" t="s">
        <v>18</v>
      </c>
      <c r="F93">
        <v>41520</v>
      </c>
      <c r="G93" t="s">
        <v>9</v>
      </c>
      <c r="H93">
        <v>15000</v>
      </c>
      <c r="I93">
        <v>4152</v>
      </c>
    </row>
    <row r="94" spans="1:9" ht="28.8" x14ac:dyDescent="0.3">
      <c r="A94" s="2">
        <v>45925</v>
      </c>
      <c r="B94" s="1" t="s">
        <v>22</v>
      </c>
      <c r="C94" t="s">
        <v>23</v>
      </c>
      <c r="D94" t="s">
        <v>24</v>
      </c>
      <c r="E94" t="s">
        <v>18</v>
      </c>
      <c r="F94">
        <v>43088.2</v>
      </c>
      <c r="G94" t="s">
        <v>9</v>
      </c>
      <c r="H94">
        <v>15000</v>
      </c>
      <c r="I94">
        <v>4308.82</v>
      </c>
    </row>
    <row r="95" spans="1:9" ht="28.8" x14ac:dyDescent="0.3">
      <c r="A95" s="2">
        <v>45925</v>
      </c>
      <c r="B95" s="1" t="s">
        <v>25</v>
      </c>
      <c r="C95" t="s">
        <v>26</v>
      </c>
      <c r="D95" t="s">
        <v>27</v>
      </c>
      <c r="E95" t="s">
        <v>18</v>
      </c>
      <c r="F95">
        <v>43184.4</v>
      </c>
      <c r="G95" t="s">
        <v>12</v>
      </c>
      <c r="H95">
        <v>15000</v>
      </c>
      <c r="I95">
        <v>4318.4400000000005</v>
      </c>
    </row>
    <row r="96" spans="1:9" ht="28.8" x14ac:dyDescent="0.3">
      <c r="A96" s="2">
        <v>45951</v>
      </c>
      <c r="B96" s="1" t="s">
        <v>25</v>
      </c>
      <c r="C96" t="s">
        <v>26</v>
      </c>
      <c r="D96" t="s">
        <v>27</v>
      </c>
      <c r="E96" t="s">
        <v>18</v>
      </c>
      <c r="F96">
        <v>44422</v>
      </c>
      <c r="G96" t="s">
        <v>12</v>
      </c>
      <c r="H96">
        <v>15000</v>
      </c>
      <c r="I96">
        <v>4442.2</v>
      </c>
    </row>
    <row r="97" spans="1:9" ht="28.8" x14ac:dyDescent="0.3">
      <c r="A97" s="2">
        <v>45951</v>
      </c>
      <c r="B97" s="1" t="s">
        <v>15</v>
      </c>
      <c r="C97" t="s">
        <v>16</v>
      </c>
      <c r="D97" t="s">
        <v>17</v>
      </c>
      <c r="E97" t="s">
        <v>18</v>
      </c>
      <c r="F97">
        <v>45801</v>
      </c>
      <c r="G97" t="s">
        <v>10</v>
      </c>
      <c r="H97">
        <v>15000</v>
      </c>
      <c r="I97">
        <v>4580.1000000000004</v>
      </c>
    </row>
    <row r="98" spans="1:9" ht="28.8" x14ac:dyDescent="0.3">
      <c r="A98" s="2">
        <v>45951</v>
      </c>
      <c r="B98" s="1" t="s">
        <v>22</v>
      </c>
      <c r="C98" t="s">
        <v>23</v>
      </c>
      <c r="D98" t="s">
        <v>24</v>
      </c>
      <c r="E98" t="s">
        <v>18</v>
      </c>
      <c r="F98">
        <v>51531.199999999997</v>
      </c>
      <c r="G98" t="s">
        <v>12</v>
      </c>
      <c r="H98">
        <v>15000</v>
      </c>
      <c r="I98">
        <v>5153.12</v>
      </c>
    </row>
  </sheetData>
  <mergeCells count="1">
    <mergeCell ref="A1:N1"/>
  </mergeCells>
  <conditionalFormatting sqref="F3:F98">
    <cfRule type="top10" dxfId="1" priority="1" rank="5"/>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47FC-F019-440F-BEDA-D12684706644}">
  <dimension ref="A1:S198"/>
  <sheetViews>
    <sheetView zoomScale="88" workbookViewId="0">
      <pane ySplit="2" topLeftCell="A3" activePane="bottomLeft" state="frozen"/>
      <selection pane="bottomLeft" activeCell="I2" sqref="I2"/>
    </sheetView>
  </sheetViews>
  <sheetFormatPr defaultRowHeight="14.4" x14ac:dyDescent="0.3"/>
  <cols>
    <col min="2" max="2" width="21.77734375" customWidth="1"/>
    <col min="3" max="3" width="10.44140625" customWidth="1"/>
    <col min="10" max="10" width="10.33203125" customWidth="1"/>
    <col min="11" max="11" width="11.44140625" customWidth="1"/>
    <col min="14" max="14" width="10.33203125" customWidth="1"/>
    <col min="15" max="15" width="14.44140625" customWidth="1"/>
    <col min="20" max="20" width="17.88671875" customWidth="1"/>
  </cols>
  <sheetData>
    <row r="1" spans="1:16" ht="21" customHeight="1" x14ac:dyDescent="0.3">
      <c r="A1" s="27" t="s">
        <v>79</v>
      </c>
      <c r="B1" s="27"/>
      <c r="C1" s="27"/>
      <c r="D1" s="27"/>
      <c r="E1" s="27"/>
      <c r="F1" s="27"/>
      <c r="G1" s="27"/>
      <c r="H1" s="27"/>
      <c r="I1" s="27"/>
      <c r="J1" s="27"/>
      <c r="K1" s="27"/>
      <c r="L1" s="27"/>
      <c r="M1" s="27"/>
      <c r="N1" s="27"/>
      <c r="O1" s="20"/>
      <c r="P1" s="20"/>
    </row>
    <row r="2" spans="1:16" ht="34.200000000000003" customHeight="1" x14ac:dyDescent="0.3">
      <c r="A2" s="19" t="s">
        <v>0</v>
      </c>
      <c r="B2" s="18" t="s">
        <v>1</v>
      </c>
      <c r="C2" s="18" t="s">
        <v>2</v>
      </c>
      <c r="D2" s="18" t="s">
        <v>3</v>
      </c>
      <c r="E2" s="18" t="s">
        <v>4</v>
      </c>
      <c r="F2" s="18" t="s">
        <v>5</v>
      </c>
      <c r="G2" s="18" t="s">
        <v>6</v>
      </c>
      <c r="H2" s="19" t="s">
        <v>76</v>
      </c>
      <c r="I2" s="18" t="s">
        <v>77</v>
      </c>
      <c r="J2" s="18" t="s">
        <v>66</v>
      </c>
      <c r="K2" s="18" t="s">
        <v>64</v>
      </c>
      <c r="L2" s="18" t="s">
        <v>62</v>
      </c>
      <c r="M2" s="18" t="s">
        <v>60</v>
      </c>
      <c r="N2" s="18" t="s">
        <v>57</v>
      </c>
      <c r="P2" s="1"/>
    </row>
    <row r="3" spans="1:16" ht="28.8" customHeight="1" x14ac:dyDescent="0.3">
      <c r="A3" s="2">
        <v>45678</v>
      </c>
      <c r="B3" s="1" t="s">
        <v>66</v>
      </c>
      <c r="C3" t="s">
        <v>74</v>
      </c>
      <c r="D3" t="s">
        <v>67</v>
      </c>
      <c r="E3" t="s">
        <v>8</v>
      </c>
      <c r="F3">
        <v>900.48</v>
      </c>
      <c r="G3" t="s">
        <v>9</v>
      </c>
      <c r="H3">
        <v>15000</v>
      </c>
      <c r="I3">
        <v>0</v>
      </c>
      <c r="J3">
        <f>SUMIF($B$3:$B$100, J$2, $F$3:$F$100)</f>
        <v>270006.03000000003</v>
      </c>
      <c r="K3">
        <f>SUMIF($B$3:$B$100, K$2, $F$3:$F$100)</f>
        <v>377773.08999999991</v>
      </c>
      <c r="L3">
        <f>SUMIF($B$3:$B$100, L$2, $F$3:$F$100)</f>
        <v>345337.26</v>
      </c>
      <c r="M3">
        <f>SUMIF($B$3:$B$100, M$2, $F$3:$F$100)</f>
        <v>195858.4</v>
      </c>
      <c r="N3">
        <f>SUMIF($B$3:$B$100, N$2, $F$3:$F$100)</f>
        <v>185823.09999999998</v>
      </c>
    </row>
    <row r="4" spans="1:16" x14ac:dyDescent="0.3">
      <c r="A4" s="2">
        <v>45678</v>
      </c>
      <c r="B4" s="1" t="s">
        <v>66</v>
      </c>
      <c r="C4" t="s">
        <v>74</v>
      </c>
      <c r="D4" t="s">
        <v>67</v>
      </c>
      <c r="E4" t="s">
        <v>8</v>
      </c>
      <c r="F4">
        <v>4224.91</v>
      </c>
      <c r="G4" t="s">
        <v>10</v>
      </c>
      <c r="H4">
        <v>15000</v>
      </c>
      <c r="I4">
        <v>0</v>
      </c>
    </row>
    <row r="5" spans="1:16" x14ac:dyDescent="0.3">
      <c r="A5" s="2">
        <v>45678</v>
      </c>
      <c r="B5" s="1" t="s">
        <v>64</v>
      </c>
      <c r="C5" t="s">
        <v>11</v>
      </c>
      <c r="D5" t="s">
        <v>65</v>
      </c>
      <c r="E5" t="s">
        <v>8</v>
      </c>
      <c r="F5">
        <v>2399.7600000000002</v>
      </c>
      <c r="G5" t="s">
        <v>9</v>
      </c>
      <c r="H5">
        <v>15000</v>
      </c>
      <c r="I5">
        <v>0</v>
      </c>
    </row>
    <row r="6" spans="1:16" x14ac:dyDescent="0.3">
      <c r="A6" s="2">
        <v>45678</v>
      </c>
      <c r="B6" s="1" t="s">
        <v>66</v>
      </c>
      <c r="C6" t="s">
        <v>74</v>
      </c>
      <c r="D6" t="s">
        <v>67</v>
      </c>
      <c r="E6" t="s">
        <v>8</v>
      </c>
      <c r="F6">
        <v>2791.64</v>
      </c>
      <c r="G6" t="s">
        <v>12</v>
      </c>
      <c r="H6">
        <v>15000</v>
      </c>
      <c r="I6">
        <v>0</v>
      </c>
    </row>
    <row r="7" spans="1:16" x14ac:dyDescent="0.3">
      <c r="A7" s="2">
        <v>45678</v>
      </c>
      <c r="B7" s="1" t="s">
        <v>62</v>
      </c>
      <c r="C7" t="s">
        <v>13</v>
      </c>
      <c r="D7" t="s">
        <v>63</v>
      </c>
      <c r="E7" t="s">
        <v>8</v>
      </c>
      <c r="F7">
        <v>2071.7600000000002</v>
      </c>
      <c r="G7" t="s">
        <v>10</v>
      </c>
      <c r="H7">
        <v>15000</v>
      </c>
      <c r="I7">
        <v>0</v>
      </c>
    </row>
    <row r="8" spans="1:16" x14ac:dyDescent="0.3">
      <c r="A8" s="2">
        <v>45678</v>
      </c>
      <c r="B8" s="1" t="s">
        <v>64</v>
      </c>
      <c r="C8" t="s">
        <v>11</v>
      </c>
      <c r="D8" t="s">
        <v>65</v>
      </c>
      <c r="E8" t="s">
        <v>8</v>
      </c>
      <c r="F8">
        <v>1983.64</v>
      </c>
      <c r="G8" t="s">
        <v>9</v>
      </c>
      <c r="H8">
        <v>15000</v>
      </c>
      <c r="I8">
        <v>0</v>
      </c>
    </row>
    <row r="9" spans="1:16" x14ac:dyDescent="0.3">
      <c r="A9" s="2">
        <v>45678</v>
      </c>
      <c r="B9" s="1" t="s">
        <v>64</v>
      </c>
      <c r="C9" t="s">
        <v>11</v>
      </c>
      <c r="D9" t="s">
        <v>65</v>
      </c>
      <c r="E9" t="s">
        <v>8</v>
      </c>
      <c r="F9">
        <v>1961.75</v>
      </c>
      <c r="G9" t="s">
        <v>12</v>
      </c>
      <c r="H9">
        <v>15000</v>
      </c>
      <c r="I9">
        <v>0</v>
      </c>
    </row>
    <row r="10" spans="1:16" x14ac:dyDescent="0.3">
      <c r="A10" s="2">
        <v>45678</v>
      </c>
      <c r="B10" s="1" t="s">
        <v>64</v>
      </c>
      <c r="C10" t="s">
        <v>11</v>
      </c>
      <c r="D10" t="s">
        <v>65</v>
      </c>
      <c r="E10" t="s">
        <v>8</v>
      </c>
      <c r="F10">
        <v>1882.64</v>
      </c>
      <c r="G10" t="s">
        <v>12</v>
      </c>
      <c r="H10">
        <v>15000</v>
      </c>
      <c r="I10">
        <v>0</v>
      </c>
    </row>
    <row r="11" spans="1:16" x14ac:dyDescent="0.3">
      <c r="A11" s="2">
        <v>45678</v>
      </c>
      <c r="B11" s="1" t="s">
        <v>60</v>
      </c>
      <c r="C11" t="s">
        <v>14</v>
      </c>
      <c r="D11" t="s">
        <v>61</v>
      </c>
      <c r="E11" t="s">
        <v>8</v>
      </c>
      <c r="F11">
        <v>2336.4</v>
      </c>
      <c r="G11" t="s">
        <v>10</v>
      </c>
      <c r="H11">
        <v>15000</v>
      </c>
      <c r="I11">
        <v>0</v>
      </c>
    </row>
    <row r="12" spans="1:16" x14ac:dyDescent="0.3">
      <c r="A12" s="2">
        <v>45682</v>
      </c>
      <c r="B12" s="1" t="s">
        <v>57</v>
      </c>
      <c r="C12" t="s">
        <v>58</v>
      </c>
      <c r="D12" t="s">
        <v>59</v>
      </c>
      <c r="E12" t="s">
        <v>8</v>
      </c>
      <c r="F12">
        <v>2997.2</v>
      </c>
      <c r="G12" t="s">
        <v>9</v>
      </c>
      <c r="H12">
        <v>15000</v>
      </c>
      <c r="I12">
        <v>0</v>
      </c>
    </row>
    <row r="13" spans="1:16" x14ac:dyDescent="0.3">
      <c r="A13" s="2">
        <v>45682</v>
      </c>
      <c r="B13" s="1" t="s">
        <v>60</v>
      </c>
      <c r="C13" t="s">
        <v>14</v>
      </c>
      <c r="D13" t="s">
        <v>61</v>
      </c>
      <c r="E13" t="s">
        <v>8</v>
      </c>
      <c r="F13">
        <v>3465</v>
      </c>
      <c r="G13" t="s">
        <v>10</v>
      </c>
      <c r="H13">
        <v>15000</v>
      </c>
      <c r="I13">
        <v>0</v>
      </c>
    </row>
    <row r="14" spans="1:16" x14ac:dyDescent="0.3">
      <c r="A14" s="2">
        <v>45682</v>
      </c>
      <c r="B14" s="1" t="s">
        <v>62</v>
      </c>
      <c r="C14" t="s">
        <v>13</v>
      </c>
      <c r="D14" t="s">
        <v>63</v>
      </c>
      <c r="E14" t="s">
        <v>8</v>
      </c>
      <c r="F14">
        <v>3760.5</v>
      </c>
      <c r="G14" t="s">
        <v>9</v>
      </c>
      <c r="H14">
        <v>15000</v>
      </c>
      <c r="I14">
        <v>0</v>
      </c>
    </row>
    <row r="15" spans="1:16" x14ac:dyDescent="0.3">
      <c r="A15" s="2">
        <v>45682</v>
      </c>
      <c r="B15" s="1" t="s">
        <v>62</v>
      </c>
      <c r="C15" t="s">
        <v>13</v>
      </c>
      <c r="D15" t="s">
        <v>63</v>
      </c>
      <c r="E15" t="s">
        <v>8</v>
      </c>
      <c r="F15">
        <v>4322.8</v>
      </c>
      <c r="G15" t="s">
        <v>12</v>
      </c>
      <c r="H15">
        <v>15000</v>
      </c>
      <c r="I15">
        <v>0</v>
      </c>
    </row>
    <row r="16" spans="1:16" x14ac:dyDescent="0.3">
      <c r="A16" s="2">
        <v>45682</v>
      </c>
      <c r="B16" s="1" t="s">
        <v>57</v>
      </c>
      <c r="C16" t="s">
        <v>58</v>
      </c>
      <c r="D16" t="s">
        <v>59</v>
      </c>
      <c r="E16" t="s">
        <v>8</v>
      </c>
      <c r="F16">
        <v>4531</v>
      </c>
      <c r="G16" t="s">
        <v>12</v>
      </c>
      <c r="H16">
        <v>15000</v>
      </c>
      <c r="I16">
        <v>0</v>
      </c>
    </row>
    <row r="17" spans="1:9" x14ac:dyDescent="0.3">
      <c r="A17" s="2">
        <v>45682</v>
      </c>
      <c r="B17" s="1" t="s">
        <v>64</v>
      </c>
      <c r="C17" t="s">
        <v>11</v>
      </c>
      <c r="D17" t="s">
        <v>65</v>
      </c>
      <c r="E17" t="s">
        <v>8</v>
      </c>
      <c r="F17">
        <v>5332.8</v>
      </c>
      <c r="G17" t="s">
        <v>10</v>
      </c>
      <c r="H17">
        <v>15000</v>
      </c>
      <c r="I17">
        <v>0</v>
      </c>
    </row>
    <row r="18" spans="1:9" x14ac:dyDescent="0.3">
      <c r="A18" s="2">
        <v>45682</v>
      </c>
      <c r="B18" s="1" t="s">
        <v>64</v>
      </c>
      <c r="C18" t="s">
        <v>11</v>
      </c>
      <c r="D18" t="s">
        <v>65</v>
      </c>
      <c r="E18" t="s">
        <v>8</v>
      </c>
      <c r="F18">
        <v>5696.4</v>
      </c>
      <c r="G18" t="s">
        <v>9</v>
      </c>
      <c r="H18">
        <v>15000</v>
      </c>
      <c r="I18">
        <v>0</v>
      </c>
    </row>
    <row r="19" spans="1:9" x14ac:dyDescent="0.3">
      <c r="A19" s="2">
        <v>45682</v>
      </c>
      <c r="B19" s="1" t="s">
        <v>66</v>
      </c>
      <c r="C19" t="s">
        <v>7</v>
      </c>
      <c r="D19" t="s">
        <v>67</v>
      </c>
      <c r="E19" t="s">
        <v>8</v>
      </c>
      <c r="F19">
        <v>6708.9</v>
      </c>
      <c r="G19" t="s">
        <v>12</v>
      </c>
      <c r="H19">
        <v>15000</v>
      </c>
      <c r="I19">
        <v>0</v>
      </c>
    </row>
    <row r="20" spans="1:9" x14ac:dyDescent="0.3">
      <c r="A20" s="2">
        <v>45709</v>
      </c>
      <c r="B20" s="1" t="s">
        <v>60</v>
      </c>
      <c r="C20" t="s">
        <v>14</v>
      </c>
      <c r="D20" t="s">
        <v>61</v>
      </c>
      <c r="E20" t="s">
        <v>8</v>
      </c>
      <c r="F20">
        <v>6751.8</v>
      </c>
      <c r="G20" t="s">
        <v>10</v>
      </c>
      <c r="H20">
        <v>15000</v>
      </c>
      <c r="I20">
        <v>0</v>
      </c>
    </row>
    <row r="21" spans="1:9" x14ac:dyDescent="0.3">
      <c r="A21" s="2">
        <v>45709</v>
      </c>
      <c r="B21" s="1" t="s">
        <v>64</v>
      </c>
      <c r="C21" t="s">
        <v>11</v>
      </c>
      <c r="D21" t="s">
        <v>65</v>
      </c>
      <c r="E21" t="s">
        <v>8</v>
      </c>
      <c r="F21">
        <v>6900</v>
      </c>
      <c r="G21" t="s">
        <v>10</v>
      </c>
      <c r="H21">
        <v>15000</v>
      </c>
      <c r="I21">
        <v>0</v>
      </c>
    </row>
    <row r="22" spans="1:9" x14ac:dyDescent="0.3">
      <c r="A22" s="2">
        <v>45709</v>
      </c>
      <c r="B22" s="1" t="s">
        <v>57</v>
      </c>
      <c r="C22" t="s">
        <v>58</v>
      </c>
      <c r="D22" t="s">
        <v>59</v>
      </c>
      <c r="E22" t="s">
        <v>8</v>
      </c>
      <c r="F22">
        <v>6945.4</v>
      </c>
      <c r="G22" t="s">
        <v>12</v>
      </c>
      <c r="H22">
        <v>15000</v>
      </c>
      <c r="I22">
        <v>0</v>
      </c>
    </row>
    <row r="23" spans="1:9" x14ac:dyDescent="0.3">
      <c r="A23" s="2">
        <v>45709</v>
      </c>
      <c r="B23" s="1" t="s">
        <v>66</v>
      </c>
      <c r="C23" t="s">
        <v>7</v>
      </c>
      <c r="D23" t="s">
        <v>67</v>
      </c>
      <c r="E23" t="s">
        <v>8</v>
      </c>
      <c r="F23">
        <v>7009.2</v>
      </c>
      <c r="G23" t="s">
        <v>10</v>
      </c>
      <c r="H23">
        <v>15000</v>
      </c>
      <c r="I23">
        <v>0</v>
      </c>
    </row>
    <row r="24" spans="1:9" x14ac:dyDescent="0.3">
      <c r="A24" s="2">
        <v>45709</v>
      </c>
      <c r="B24" s="1" t="s">
        <v>64</v>
      </c>
      <c r="C24" t="s">
        <v>11</v>
      </c>
      <c r="D24" t="s">
        <v>65</v>
      </c>
      <c r="E24" t="s">
        <v>8</v>
      </c>
      <c r="F24">
        <v>7088.9</v>
      </c>
      <c r="G24" t="s">
        <v>9</v>
      </c>
      <c r="H24">
        <v>15000</v>
      </c>
      <c r="I24">
        <v>0</v>
      </c>
    </row>
    <row r="25" spans="1:9" x14ac:dyDescent="0.3">
      <c r="A25" s="2">
        <v>45709</v>
      </c>
      <c r="B25" s="1" t="s">
        <v>60</v>
      </c>
      <c r="C25" t="s">
        <v>14</v>
      </c>
      <c r="D25" t="s">
        <v>61</v>
      </c>
      <c r="E25" t="s">
        <v>8</v>
      </c>
      <c r="F25">
        <v>7196</v>
      </c>
      <c r="G25" t="s">
        <v>10</v>
      </c>
      <c r="H25">
        <v>15000</v>
      </c>
      <c r="I25">
        <v>0</v>
      </c>
    </row>
    <row r="26" spans="1:9" x14ac:dyDescent="0.3">
      <c r="A26" s="2">
        <v>45709</v>
      </c>
      <c r="B26" s="1" t="s">
        <v>57</v>
      </c>
      <c r="C26" t="s">
        <v>58</v>
      </c>
      <c r="D26" t="s">
        <v>59</v>
      </c>
      <c r="E26" t="s">
        <v>8</v>
      </c>
      <c r="F26">
        <v>7343.2</v>
      </c>
      <c r="G26" t="s">
        <v>10</v>
      </c>
      <c r="H26">
        <v>15000</v>
      </c>
      <c r="I26">
        <v>0</v>
      </c>
    </row>
    <row r="27" spans="1:9" x14ac:dyDescent="0.3">
      <c r="A27" s="2">
        <v>45709</v>
      </c>
      <c r="B27" s="1" t="s">
        <v>57</v>
      </c>
      <c r="C27" t="s">
        <v>58</v>
      </c>
      <c r="D27" t="s">
        <v>59</v>
      </c>
      <c r="E27" t="s">
        <v>8</v>
      </c>
      <c r="F27">
        <v>7356.6</v>
      </c>
      <c r="G27" t="s">
        <v>9</v>
      </c>
      <c r="H27">
        <v>15000</v>
      </c>
      <c r="I27">
        <v>0</v>
      </c>
    </row>
    <row r="28" spans="1:9" x14ac:dyDescent="0.3">
      <c r="A28" s="2">
        <v>45709</v>
      </c>
      <c r="B28" s="1" t="s">
        <v>57</v>
      </c>
      <c r="C28" t="s">
        <v>58</v>
      </c>
      <c r="D28" t="s">
        <v>59</v>
      </c>
      <c r="E28" t="s">
        <v>8</v>
      </c>
      <c r="F28">
        <v>7658.2</v>
      </c>
      <c r="G28" t="s">
        <v>12</v>
      </c>
      <c r="H28">
        <v>15000</v>
      </c>
      <c r="I28">
        <v>0</v>
      </c>
    </row>
    <row r="29" spans="1:9" x14ac:dyDescent="0.3">
      <c r="A29" s="2">
        <v>45709</v>
      </c>
      <c r="B29" s="1" t="s">
        <v>62</v>
      </c>
      <c r="C29" t="s">
        <v>13</v>
      </c>
      <c r="D29" t="s">
        <v>63</v>
      </c>
      <c r="E29" t="s">
        <v>8</v>
      </c>
      <c r="F29">
        <v>7658.6</v>
      </c>
      <c r="G29" t="s">
        <v>10</v>
      </c>
      <c r="H29">
        <v>15000</v>
      </c>
      <c r="I29">
        <v>0</v>
      </c>
    </row>
    <row r="30" spans="1:9" x14ac:dyDescent="0.3">
      <c r="A30" s="2">
        <v>45709</v>
      </c>
      <c r="B30" s="1" t="s">
        <v>60</v>
      </c>
      <c r="C30" t="s">
        <v>14</v>
      </c>
      <c r="D30" t="s">
        <v>61</v>
      </c>
      <c r="E30" t="s">
        <v>8</v>
      </c>
      <c r="F30">
        <v>7714</v>
      </c>
      <c r="G30" t="s">
        <v>9</v>
      </c>
      <c r="H30">
        <v>15000</v>
      </c>
      <c r="I30">
        <v>0</v>
      </c>
    </row>
    <row r="31" spans="1:9" x14ac:dyDescent="0.3">
      <c r="A31" s="2">
        <v>45709</v>
      </c>
      <c r="B31" s="1" t="s">
        <v>64</v>
      </c>
      <c r="C31" t="s">
        <v>11</v>
      </c>
      <c r="D31" t="s">
        <v>65</v>
      </c>
      <c r="E31" t="s">
        <v>8</v>
      </c>
      <c r="F31">
        <v>7982.7</v>
      </c>
      <c r="G31" t="s">
        <v>12</v>
      </c>
      <c r="H31">
        <v>15000</v>
      </c>
      <c r="I31">
        <v>0</v>
      </c>
    </row>
    <row r="32" spans="1:9" x14ac:dyDescent="0.3">
      <c r="A32" s="2">
        <v>45737</v>
      </c>
      <c r="B32" s="1" t="s">
        <v>62</v>
      </c>
      <c r="C32" t="s">
        <v>13</v>
      </c>
      <c r="D32" t="s">
        <v>63</v>
      </c>
      <c r="E32" t="s">
        <v>8</v>
      </c>
      <c r="F32">
        <v>8065.6</v>
      </c>
      <c r="G32" t="s">
        <v>12</v>
      </c>
      <c r="H32">
        <v>15000</v>
      </c>
      <c r="I32">
        <v>0</v>
      </c>
    </row>
    <row r="33" spans="1:9" x14ac:dyDescent="0.3">
      <c r="A33" s="2">
        <v>45737</v>
      </c>
      <c r="B33" s="1" t="s">
        <v>66</v>
      </c>
      <c r="C33" t="s">
        <v>7</v>
      </c>
      <c r="D33" t="s">
        <v>67</v>
      </c>
      <c r="E33" t="s">
        <v>8</v>
      </c>
      <c r="F33">
        <v>8095.5</v>
      </c>
      <c r="G33" t="s">
        <v>9</v>
      </c>
      <c r="H33">
        <v>15000</v>
      </c>
      <c r="I33">
        <v>0</v>
      </c>
    </row>
    <row r="34" spans="1:9" x14ac:dyDescent="0.3">
      <c r="A34" s="2">
        <v>45737</v>
      </c>
      <c r="B34" s="1" t="s">
        <v>62</v>
      </c>
      <c r="C34" t="s">
        <v>13</v>
      </c>
      <c r="D34" t="s">
        <v>63</v>
      </c>
      <c r="E34" t="s">
        <v>8</v>
      </c>
      <c r="F34">
        <v>8694</v>
      </c>
      <c r="G34" t="s">
        <v>9</v>
      </c>
      <c r="H34">
        <v>15000</v>
      </c>
      <c r="I34">
        <v>0</v>
      </c>
    </row>
    <row r="35" spans="1:9" x14ac:dyDescent="0.3">
      <c r="A35" s="2">
        <v>45737</v>
      </c>
      <c r="B35" s="1" t="s">
        <v>57</v>
      </c>
      <c r="C35" t="s">
        <v>58</v>
      </c>
      <c r="D35" t="s">
        <v>59</v>
      </c>
      <c r="E35" t="s">
        <v>8</v>
      </c>
      <c r="F35">
        <v>8914.5</v>
      </c>
      <c r="G35" t="s">
        <v>9</v>
      </c>
      <c r="H35">
        <v>15000</v>
      </c>
      <c r="I35">
        <v>0</v>
      </c>
    </row>
    <row r="36" spans="1:9" x14ac:dyDescent="0.3">
      <c r="A36" s="2">
        <v>45737</v>
      </c>
      <c r="B36" s="1" t="s">
        <v>66</v>
      </c>
      <c r="C36" t="s">
        <v>7</v>
      </c>
      <c r="D36" t="s">
        <v>67</v>
      </c>
      <c r="E36" t="s">
        <v>8</v>
      </c>
      <c r="F36">
        <v>9004.7999999999993</v>
      </c>
      <c r="G36" t="s">
        <v>9</v>
      </c>
      <c r="H36">
        <v>15000</v>
      </c>
      <c r="I36">
        <v>0</v>
      </c>
    </row>
    <row r="37" spans="1:9" x14ac:dyDescent="0.3">
      <c r="A37" s="2">
        <v>45737</v>
      </c>
      <c r="B37" s="1" t="s">
        <v>64</v>
      </c>
      <c r="C37" t="s">
        <v>11</v>
      </c>
      <c r="D37" t="s">
        <v>65</v>
      </c>
      <c r="E37" t="s">
        <v>8</v>
      </c>
      <c r="F37">
        <v>9098.6</v>
      </c>
      <c r="G37" t="s">
        <v>12</v>
      </c>
      <c r="H37">
        <v>15000</v>
      </c>
      <c r="I37">
        <v>0</v>
      </c>
    </row>
    <row r="38" spans="1:9" x14ac:dyDescent="0.3">
      <c r="A38" s="2">
        <v>45737</v>
      </c>
      <c r="B38" s="1" t="s">
        <v>62</v>
      </c>
      <c r="C38" t="s">
        <v>13</v>
      </c>
      <c r="D38" t="s">
        <v>63</v>
      </c>
      <c r="E38" t="s">
        <v>8</v>
      </c>
      <c r="F38">
        <v>9116</v>
      </c>
      <c r="G38" t="s">
        <v>9</v>
      </c>
      <c r="H38">
        <v>15000</v>
      </c>
      <c r="I38">
        <v>0</v>
      </c>
    </row>
    <row r="39" spans="1:9" x14ac:dyDescent="0.3">
      <c r="A39" s="2">
        <v>45737</v>
      </c>
      <c r="B39" s="1" t="s">
        <v>62</v>
      </c>
      <c r="C39" t="s">
        <v>13</v>
      </c>
      <c r="D39" t="s">
        <v>63</v>
      </c>
      <c r="E39" t="s">
        <v>8</v>
      </c>
      <c r="F39">
        <v>9574.7999999999993</v>
      </c>
      <c r="G39" t="s">
        <v>10</v>
      </c>
      <c r="H39">
        <v>15000</v>
      </c>
      <c r="I39">
        <v>0</v>
      </c>
    </row>
    <row r="40" spans="1:9" x14ac:dyDescent="0.3">
      <c r="A40" s="2">
        <v>45737</v>
      </c>
      <c r="B40" s="1" t="s">
        <v>66</v>
      </c>
      <c r="C40" t="s">
        <v>7</v>
      </c>
      <c r="D40" t="s">
        <v>67</v>
      </c>
      <c r="E40" t="s">
        <v>8</v>
      </c>
      <c r="F40">
        <v>9683</v>
      </c>
      <c r="G40" t="s">
        <v>12</v>
      </c>
      <c r="H40">
        <v>15000</v>
      </c>
      <c r="I40">
        <v>0</v>
      </c>
    </row>
    <row r="41" spans="1:9" x14ac:dyDescent="0.3">
      <c r="A41" s="2">
        <v>45737</v>
      </c>
      <c r="B41" s="1" t="s">
        <v>62</v>
      </c>
      <c r="C41" t="s">
        <v>13</v>
      </c>
      <c r="D41" t="s">
        <v>63</v>
      </c>
      <c r="E41" t="s">
        <v>8</v>
      </c>
      <c r="F41">
        <v>9697.6</v>
      </c>
      <c r="G41" t="s">
        <v>10</v>
      </c>
      <c r="H41">
        <v>15000</v>
      </c>
      <c r="I41">
        <v>0</v>
      </c>
    </row>
    <row r="42" spans="1:9" x14ac:dyDescent="0.3">
      <c r="A42" s="2">
        <v>45737</v>
      </c>
      <c r="B42" s="1" t="s">
        <v>57</v>
      </c>
      <c r="C42" t="s">
        <v>58</v>
      </c>
      <c r="D42" t="s">
        <v>59</v>
      </c>
      <c r="E42" t="s">
        <v>8</v>
      </c>
      <c r="F42">
        <v>10019.200000000001</v>
      </c>
      <c r="G42" t="s">
        <v>12</v>
      </c>
      <c r="H42">
        <v>15000</v>
      </c>
      <c r="I42">
        <v>0</v>
      </c>
    </row>
    <row r="43" spans="1:9" x14ac:dyDescent="0.3">
      <c r="A43" s="2">
        <v>45737</v>
      </c>
      <c r="B43" s="1" t="s">
        <v>62</v>
      </c>
      <c r="C43" t="s">
        <v>13</v>
      </c>
      <c r="D43" t="s">
        <v>63</v>
      </c>
      <c r="E43" t="s">
        <v>8</v>
      </c>
      <c r="F43">
        <v>10067.200000000001</v>
      </c>
      <c r="G43" t="s">
        <v>12</v>
      </c>
      <c r="H43">
        <v>15000</v>
      </c>
      <c r="I43">
        <v>0</v>
      </c>
    </row>
    <row r="44" spans="1:9" x14ac:dyDescent="0.3">
      <c r="A44" s="2">
        <v>45737</v>
      </c>
      <c r="B44" s="1" t="s">
        <v>64</v>
      </c>
      <c r="C44" t="s">
        <v>11</v>
      </c>
      <c r="D44" t="s">
        <v>65</v>
      </c>
      <c r="E44" t="s">
        <v>8</v>
      </c>
      <c r="F44">
        <v>10110.299999999999</v>
      </c>
      <c r="G44" t="s">
        <v>9</v>
      </c>
      <c r="H44">
        <v>15000</v>
      </c>
      <c r="I44">
        <v>0</v>
      </c>
    </row>
    <row r="45" spans="1:9" x14ac:dyDescent="0.3">
      <c r="A45" s="2">
        <v>45737</v>
      </c>
      <c r="B45" s="1" t="s">
        <v>62</v>
      </c>
      <c r="C45" t="s">
        <v>13</v>
      </c>
      <c r="D45" t="s">
        <v>63</v>
      </c>
      <c r="E45" t="s">
        <v>8</v>
      </c>
      <c r="F45">
        <v>10176</v>
      </c>
      <c r="G45" t="s">
        <v>10</v>
      </c>
      <c r="H45">
        <v>15000</v>
      </c>
      <c r="I45">
        <v>0</v>
      </c>
    </row>
    <row r="46" spans="1:9" x14ac:dyDescent="0.3">
      <c r="A46" s="2">
        <v>45741</v>
      </c>
      <c r="B46" s="1" t="s">
        <v>62</v>
      </c>
      <c r="C46" t="s">
        <v>13</v>
      </c>
      <c r="D46" t="s">
        <v>63</v>
      </c>
      <c r="E46" t="s">
        <v>8</v>
      </c>
      <c r="F46">
        <v>10391.700000000001</v>
      </c>
      <c r="G46" t="s">
        <v>12</v>
      </c>
      <c r="H46">
        <v>15000</v>
      </c>
      <c r="I46">
        <v>0</v>
      </c>
    </row>
    <row r="47" spans="1:9" x14ac:dyDescent="0.3">
      <c r="A47" s="2">
        <v>45741</v>
      </c>
      <c r="B47" s="1" t="s">
        <v>57</v>
      </c>
      <c r="C47" t="s">
        <v>58</v>
      </c>
      <c r="D47" t="s">
        <v>59</v>
      </c>
      <c r="E47" t="s">
        <v>8</v>
      </c>
      <c r="F47">
        <v>10451.200000000001</v>
      </c>
      <c r="G47" t="s">
        <v>9</v>
      </c>
      <c r="H47">
        <v>15000</v>
      </c>
      <c r="I47">
        <v>0</v>
      </c>
    </row>
    <row r="48" spans="1:9" x14ac:dyDescent="0.3">
      <c r="A48" s="2">
        <v>45741</v>
      </c>
      <c r="B48" s="1" t="s">
        <v>64</v>
      </c>
      <c r="C48" t="s">
        <v>11</v>
      </c>
      <c r="D48" t="s">
        <v>65</v>
      </c>
      <c r="E48" t="s">
        <v>8</v>
      </c>
      <c r="F48">
        <v>10595.2</v>
      </c>
      <c r="G48" t="s">
        <v>12</v>
      </c>
      <c r="H48">
        <v>15000</v>
      </c>
      <c r="I48">
        <v>0</v>
      </c>
    </row>
    <row r="49" spans="1:9" x14ac:dyDescent="0.3">
      <c r="A49" s="2">
        <v>45741</v>
      </c>
      <c r="B49" s="1" t="s">
        <v>62</v>
      </c>
      <c r="C49" t="s">
        <v>13</v>
      </c>
      <c r="D49" t="s">
        <v>63</v>
      </c>
      <c r="E49" t="s">
        <v>8</v>
      </c>
      <c r="F49">
        <v>10649</v>
      </c>
      <c r="G49" t="s">
        <v>12</v>
      </c>
      <c r="H49">
        <v>15000</v>
      </c>
      <c r="I49">
        <v>0</v>
      </c>
    </row>
    <row r="50" spans="1:9" x14ac:dyDescent="0.3">
      <c r="A50" s="2">
        <v>45741</v>
      </c>
      <c r="B50" s="1" t="s">
        <v>64</v>
      </c>
      <c r="C50" t="s">
        <v>11</v>
      </c>
      <c r="D50" t="s">
        <v>65</v>
      </c>
      <c r="E50" t="s">
        <v>8</v>
      </c>
      <c r="F50">
        <v>10679.4</v>
      </c>
      <c r="G50" t="s">
        <v>12</v>
      </c>
      <c r="H50">
        <v>15000</v>
      </c>
      <c r="I50">
        <v>0</v>
      </c>
    </row>
    <row r="51" spans="1:9" x14ac:dyDescent="0.3">
      <c r="A51" s="2">
        <v>45741</v>
      </c>
      <c r="B51" s="1" t="s">
        <v>60</v>
      </c>
      <c r="C51" t="s">
        <v>14</v>
      </c>
      <c r="D51" t="s">
        <v>61</v>
      </c>
      <c r="E51" t="s">
        <v>8</v>
      </c>
      <c r="F51">
        <v>10694.7</v>
      </c>
      <c r="G51" t="s">
        <v>12</v>
      </c>
      <c r="H51">
        <v>15000</v>
      </c>
      <c r="I51">
        <v>0</v>
      </c>
    </row>
    <row r="52" spans="1:9" x14ac:dyDescent="0.3">
      <c r="A52" s="2">
        <v>45741</v>
      </c>
      <c r="B52" s="1" t="s">
        <v>66</v>
      </c>
      <c r="C52" t="s">
        <v>7</v>
      </c>
      <c r="D52" t="s">
        <v>67</v>
      </c>
      <c r="E52" t="s">
        <v>8</v>
      </c>
      <c r="F52">
        <v>11155.5</v>
      </c>
      <c r="G52" t="s">
        <v>9</v>
      </c>
      <c r="H52">
        <v>15000</v>
      </c>
      <c r="I52">
        <v>0</v>
      </c>
    </row>
    <row r="53" spans="1:9" x14ac:dyDescent="0.3">
      <c r="A53" s="2">
        <v>45768</v>
      </c>
      <c r="B53" s="1" t="s">
        <v>62</v>
      </c>
      <c r="C53" t="s">
        <v>13</v>
      </c>
      <c r="D53" t="s">
        <v>63</v>
      </c>
      <c r="E53" t="s">
        <v>8</v>
      </c>
      <c r="F53">
        <v>11543</v>
      </c>
      <c r="G53" t="s">
        <v>9</v>
      </c>
      <c r="H53">
        <v>15000</v>
      </c>
      <c r="I53">
        <v>0</v>
      </c>
    </row>
    <row r="54" spans="1:9" x14ac:dyDescent="0.3">
      <c r="A54" s="2">
        <v>45768</v>
      </c>
      <c r="B54" s="1" t="s">
        <v>57</v>
      </c>
      <c r="C54" t="s">
        <v>58</v>
      </c>
      <c r="D54" t="s">
        <v>59</v>
      </c>
      <c r="E54" t="s">
        <v>8</v>
      </c>
      <c r="F54">
        <v>11580.4</v>
      </c>
      <c r="G54" t="s">
        <v>10</v>
      </c>
      <c r="H54">
        <v>15000</v>
      </c>
      <c r="I54">
        <v>0</v>
      </c>
    </row>
    <row r="55" spans="1:9" x14ac:dyDescent="0.3">
      <c r="A55" s="2">
        <v>45768</v>
      </c>
      <c r="B55" s="1" t="s">
        <v>57</v>
      </c>
      <c r="C55" t="s">
        <v>58</v>
      </c>
      <c r="D55" t="s">
        <v>59</v>
      </c>
      <c r="E55" t="s">
        <v>8</v>
      </c>
      <c r="F55">
        <v>11716.5</v>
      </c>
      <c r="G55" t="s">
        <v>9</v>
      </c>
      <c r="H55">
        <v>15000</v>
      </c>
      <c r="I55">
        <v>0</v>
      </c>
    </row>
    <row r="56" spans="1:9" x14ac:dyDescent="0.3">
      <c r="A56" s="2">
        <v>45768</v>
      </c>
      <c r="B56" s="1" t="s">
        <v>64</v>
      </c>
      <c r="C56" t="s">
        <v>11</v>
      </c>
      <c r="D56" t="s">
        <v>65</v>
      </c>
      <c r="E56" t="s">
        <v>8</v>
      </c>
      <c r="F56">
        <v>14235.4</v>
      </c>
      <c r="G56" t="s">
        <v>12</v>
      </c>
      <c r="H56">
        <v>15000</v>
      </c>
      <c r="I56">
        <v>0</v>
      </c>
    </row>
    <row r="57" spans="1:9" x14ac:dyDescent="0.3">
      <c r="A57" s="2">
        <v>45768</v>
      </c>
      <c r="B57" s="1" t="s">
        <v>62</v>
      </c>
      <c r="C57" t="s">
        <v>13</v>
      </c>
      <c r="D57" t="s">
        <v>63</v>
      </c>
      <c r="E57" t="s">
        <v>8</v>
      </c>
      <c r="F57">
        <v>14301.6</v>
      </c>
      <c r="G57" t="s">
        <v>10</v>
      </c>
      <c r="H57">
        <v>15000</v>
      </c>
      <c r="I57">
        <v>0</v>
      </c>
    </row>
    <row r="58" spans="1:9" x14ac:dyDescent="0.3">
      <c r="A58" s="2">
        <v>45768</v>
      </c>
      <c r="B58" s="1" t="s">
        <v>62</v>
      </c>
      <c r="C58" t="s">
        <v>13</v>
      </c>
      <c r="D58" t="s">
        <v>63</v>
      </c>
      <c r="E58" t="s">
        <v>8</v>
      </c>
      <c r="F58">
        <v>14302.9</v>
      </c>
      <c r="G58" t="s">
        <v>9</v>
      </c>
      <c r="H58">
        <v>15000</v>
      </c>
      <c r="I58">
        <v>0</v>
      </c>
    </row>
    <row r="59" spans="1:9" x14ac:dyDescent="0.3">
      <c r="A59" s="2">
        <v>45798</v>
      </c>
      <c r="B59" s="1" t="s">
        <v>62</v>
      </c>
      <c r="C59" t="s">
        <v>13</v>
      </c>
      <c r="D59" t="s">
        <v>63</v>
      </c>
      <c r="E59" t="s">
        <v>8</v>
      </c>
      <c r="F59">
        <v>14329.5</v>
      </c>
      <c r="G59" t="s">
        <v>9</v>
      </c>
      <c r="H59">
        <v>15000</v>
      </c>
      <c r="I59">
        <v>0</v>
      </c>
    </row>
    <row r="60" spans="1:9" x14ac:dyDescent="0.3">
      <c r="A60" s="2">
        <v>45798</v>
      </c>
      <c r="B60" s="1" t="s">
        <v>66</v>
      </c>
      <c r="C60" t="s">
        <v>7</v>
      </c>
      <c r="D60" t="s">
        <v>67</v>
      </c>
      <c r="E60" t="s">
        <v>8</v>
      </c>
      <c r="F60">
        <v>14416</v>
      </c>
      <c r="G60" t="s">
        <v>12</v>
      </c>
      <c r="H60">
        <v>15000</v>
      </c>
      <c r="I60">
        <v>0</v>
      </c>
    </row>
    <row r="61" spans="1:9" x14ac:dyDescent="0.3">
      <c r="A61" s="2">
        <v>45798</v>
      </c>
      <c r="B61" s="1" t="s">
        <v>60</v>
      </c>
      <c r="C61" t="s">
        <v>14</v>
      </c>
      <c r="D61" t="s">
        <v>61</v>
      </c>
      <c r="E61" t="s">
        <v>8</v>
      </c>
      <c r="F61">
        <v>15061.2</v>
      </c>
      <c r="G61" t="s">
        <v>10</v>
      </c>
      <c r="H61">
        <v>15000</v>
      </c>
      <c r="I61">
        <v>1506.1200000000001</v>
      </c>
    </row>
    <row r="62" spans="1:9" x14ac:dyDescent="0.3">
      <c r="A62" s="2">
        <v>45798</v>
      </c>
      <c r="B62" s="1" t="s">
        <v>57</v>
      </c>
      <c r="C62" t="s">
        <v>58</v>
      </c>
      <c r="D62" t="s">
        <v>59</v>
      </c>
      <c r="E62" t="s">
        <v>8</v>
      </c>
      <c r="F62">
        <v>15152.4</v>
      </c>
      <c r="G62" t="s">
        <v>12</v>
      </c>
      <c r="H62">
        <v>15000</v>
      </c>
      <c r="I62">
        <v>1515.24</v>
      </c>
    </row>
    <row r="63" spans="1:9" x14ac:dyDescent="0.3">
      <c r="A63" s="2">
        <v>45798</v>
      </c>
      <c r="B63" s="1" t="s">
        <v>62</v>
      </c>
      <c r="C63" t="s">
        <v>13</v>
      </c>
      <c r="D63" t="s">
        <v>63</v>
      </c>
      <c r="E63" t="s">
        <v>8</v>
      </c>
      <c r="F63">
        <v>15633.2</v>
      </c>
      <c r="G63" t="s">
        <v>10</v>
      </c>
      <c r="H63">
        <v>15000</v>
      </c>
      <c r="I63">
        <v>1563.3200000000002</v>
      </c>
    </row>
    <row r="64" spans="1:9" x14ac:dyDescent="0.3">
      <c r="A64" s="2">
        <v>45798</v>
      </c>
      <c r="B64" s="1" t="s">
        <v>66</v>
      </c>
      <c r="C64" t="s">
        <v>7</v>
      </c>
      <c r="D64" t="s">
        <v>67</v>
      </c>
      <c r="E64" t="s">
        <v>8</v>
      </c>
      <c r="F64">
        <v>15670.2</v>
      </c>
      <c r="G64" t="s">
        <v>12</v>
      </c>
      <c r="H64">
        <v>15000</v>
      </c>
      <c r="I64">
        <v>1567.0200000000002</v>
      </c>
    </row>
    <row r="65" spans="1:9" x14ac:dyDescent="0.3">
      <c r="A65" s="2">
        <v>45829</v>
      </c>
      <c r="B65" s="1" t="s">
        <v>62</v>
      </c>
      <c r="C65" t="s">
        <v>13</v>
      </c>
      <c r="D65" t="s">
        <v>63</v>
      </c>
      <c r="E65" t="s">
        <v>8</v>
      </c>
      <c r="F65">
        <v>16363.9</v>
      </c>
      <c r="G65" t="s">
        <v>9</v>
      </c>
      <c r="H65">
        <v>15000</v>
      </c>
      <c r="I65">
        <v>1636.39</v>
      </c>
    </row>
    <row r="66" spans="1:9" x14ac:dyDescent="0.3">
      <c r="A66" s="2">
        <v>45829</v>
      </c>
      <c r="B66" s="1" t="s">
        <v>64</v>
      </c>
      <c r="C66" t="s">
        <v>11</v>
      </c>
      <c r="D66" t="s">
        <v>65</v>
      </c>
      <c r="E66" t="s">
        <v>8</v>
      </c>
      <c r="F66">
        <v>16385.599999999999</v>
      </c>
      <c r="G66" t="s">
        <v>9</v>
      </c>
      <c r="H66">
        <v>15000</v>
      </c>
      <c r="I66">
        <v>1638.56</v>
      </c>
    </row>
    <row r="67" spans="1:9" x14ac:dyDescent="0.3">
      <c r="A67" s="2">
        <v>45829</v>
      </c>
      <c r="B67" s="1" t="s">
        <v>57</v>
      </c>
      <c r="C67" t="s">
        <v>58</v>
      </c>
      <c r="D67" t="s">
        <v>59</v>
      </c>
      <c r="E67" t="s">
        <v>8</v>
      </c>
      <c r="F67">
        <v>16499.400000000001</v>
      </c>
      <c r="G67" t="s">
        <v>10</v>
      </c>
      <c r="H67">
        <v>15000</v>
      </c>
      <c r="I67">
        <v>1649.9400000000003</v>
      </c>
    </row>
    <row r="68" spans="1:9" x14ac:dyDescent="0.3">
      <c r="A68" s="2">
        <v>45829</v>
      </c>
      <c r="B68" s="1" t="s">
        <v>57</v>
      </c>
      <c r="C68" t="s">
        <v>58</v>
      </c>
      <c r="D68" t="s">
        <v>59</v>
      </c>
      <c r="E68" t="s">
        <v>8</v>
      </c>
      <c r="F68">
        <v>16806.400000000001</v>
      </c>
      <c r="G68" t="s">
        <v>9</v>
      </c>
      <c r="H68">
        <v>15000</v>
      </c>
      <c r="I68">
        <v>1680.6400000000003</v>
      </c>
    </row>
    <row r="69" spans="1:9" x14ac:dyDescent="0.3">
      <c r="A69" s="2">
        <v>45829</v>
      </c>
      <c r="B69" s="1" t="s">
        <v>64</v>
      </c>
      <c r="C69" t="s">
        <v>11</v>
      </c>
      <c r="D69" t="s">
        <v>65</v>
      </c>
      <c r="E69" t="s">
        <v>8</v>
      </c>
      <c r="F69">
        <v>16968</v>
      </c>
      <c r="G69" t="s">
        <v>12</v>
      </c>
      <c r="H69">
        <v>15000</v>
      </c>
      <c r="I69">
        <v>1696.8000000000002</v>
      </c>
    </row>
    <row r="70" spans="1:9" x14ac:dyDescent="0.3">
      <c r="A70" s="2">
        <v>45829</v>
      </c>
      <c r="B70" s="1" t="s">
        <v>64</v>
      </c>
      <c r="C70" t="s">
        <v>11</v>
      </c>
      <c r="D70" t="s">
        <v>65</v>
      </c>
      <c r="E70" t="s">
        <v>8</v>
      </c>
      <c r="F70">
        <v>17262</v>
      </c>
      <c r="G70" t="s">
        <v>10</v>
      </c>
      <c r="H70">
        <v>15000</v>
      </c>
      <c r="I70">
        <v>1726.2</v>
      </c>
    </row>
    <row r="71" spans="1:9" x14ac:dyDescent="0.3">
      <c r="A71" s="2">
        <v>45829</v>
      </c>
      <c r="B71" s="1" t="s">
        <v>60</v>
      </c>
      <c r="C71" t="s">
        <v>14</v>
      </c>
      <c r="D71" t="s">
        <v>61</v>
      </c>
      <c r="E71" t="s">
        <v>8</v>
      </c>
      <c r="F71">
        <v>17748</v>
      </c>
      <c r="G71" t="s">
        <v>9</v>
      </c>
      <c r="H71">
        <v>15000</v>
      </c>
      <c r="I71">
        <v>1774.8000000000002</v>
      </c>
    </row>
    <row r="72" spans="1:9" x14ac:dyDescent="0.3">
      <c r="A72" s="2">
        <v>45829</v>
      </c>
      <c r="B72" s="1" t="s">
        <v>62</v>
      </c>
      <c r="C72" t="s">
        <v>13</v>
      </c>
      <c r="D72" t="s">
        <v>63</v>
      </c>
      <c r="E72" t="s">
        <v>8</v>
      </c>
      <c r="F72">
        <v>17993.5</v>
      </c>
      <c r="G72" t="s">
        <v>9</v>
      </c>
      <c r="H72">
        <v>15000</v>
      </c>
      <c r="I72">
        <v>1799.3500000000001</v>
      </c>
    </row>
    <row r="73" spans="1:9" x14ac:dyDescent="0.3">
      <c r="A73" s="2">
        <v>45829</v>
      </c>
      <c r="B73" s="1" t="s">
        <v>64</v>
      </c>
      <c r="C73" t="s">
        <v>11</v>
      </c>
      <c r="D73" t="s">
        <v>65</v>
      </c>
      <c r="E73" t="s">
        <v>8</v>
      </c>
      <c r="F73">
        <v>18188.400000000001</v>
      </c>
      <c r="G73" t="s">
        <v>10</v>
      </c>
      <c r="H73">
        <v>15000</v>
      </c>
      <c r="I73">
        <v>1818.8400000000001</v>
      </c>
    </row>
    <row r="74" spans="1:9" x14ac:dyDescent="0.3">
      <c r="A74" s="2">
        <v>45859</v>
      </c>
      <c r="B74" s="1" t="s">
        <v>64</v>
      </c>
      <c r="C74" t="s">
        <v>11</v>
      </c>
      <c r="D74" t="s">
        <v>65</v>
      </c>
      <c r="E74" t="s">
        <v>8</v>
      </c>
      <c r="F74">
        <v>18826.400000000001</v>
      </c>
      <c r="G74" t="s">
        <v>12</v>
      </c>
      <c r="H74">
        <v>15000</v>
      </c>
      <c r="I74">
        <v>1882.6400000000003</v>
      </c>
    </row>
    <row r="75" spans="1:9" x14ac:dyDescent="0.3">
      <c r="A75" s="2">
        <v>45859</v>
      </c>
      <c r="B75" s="1" t="s">
        <v>62</v>
      </c>
      <c r="C75" t="s">
        <v>13</v>
      </c>
      <c r="D75" t="s">
        <v>63</v>
      </c>
      <c r="E75" t="s">
        <v>8</v>
      </c>
      <c r="F75">
        <v>19108</v>
      </c>
      <c r="G75" t="s">
        <v>10</v>
      </c>
      <c r="H75">
        <v>15000</v>
      </c>
      <c r="I75">
        <v>1910.8000000000002</v>
      </c>
    </row>
    <row r="76" spans="1:9" x14ac:dyDescent="0.3">
      <c r="A76" s="2">
        <v>45859</v>
      </c>
      <c r="B76" s="1" t="s">
        <v>57</v>
      </c>
      <c r="C76" t="s">
        <v>58</v>
      </c>
      <c r="D76" t="s">
        <v>59</v>
      </c>
      <c r="E76" t="s">
        <v>8</v>
      </c>
      <c r="F76">
        <v>19456</v>
      </c>
      <c r="G76" t="s">
        <v>9</v>
      </c>
      <c r="H76">
        <v>15000</v>
      </c>
      <c r="I76">
        <v>1945.6000000000001</v>
      </c>
    </row>
    <row r="77" spans="1:9" x14ac:dyDescent="0.3">
      <c r="A77" s="2">
        <v>45859</v>
      </c>
      <c r="B77" s="1" t="s">
        <v>64</v>
      </c>
      <c r="C77" t="s">
        <v>11</v>
      </c>
      <c r="D77" t="s">
        <v>65</v>
      </c>
      <c r="E77" t="s">
        <v>8</v>
      </c>
      <c r="F77">
        <v>19617.5</v>
      </c>
      <c r="G77" t="s">
        <v>12</v>
      </c>
      <c r="H77">
        <v>15000</v>
      </c>
      <c r="I77">
        <v>1961.75</v>
      </c>
    </row>
    <row r="78" spans="1:9" x14ac:dyDescent="0.3">
      <c r="A78" s="2">
        <v>45859</v>
      </c>
      <c r="B78" s="1" t="s">
        <v>64</v>
      </c>
      <c r="C78" t="s">
        <v>11</v>
      </c>
      <c r="D78" t="s">
        <v>65</v>
      </c>
      <c r="E78" t="s">
        <v>8</v>
      </c>
      <c r="F78">
        <v>19836.400000000001</v>
      </c>
      <c r="G78" t="s">
        <v>9</v>
      </c>
      <c r="H78">
        <v>15000</v>
      </c>
      <c r="I78">
        <v>1983.6400000000003</v>
      </c>
    </row>
    <row r="79" spans="1:9" x14ac:dyDescent="0.3">
      <c r="A79" s="2">
        <v>45859</v>
      </c>
      <c r="B79" s="1" t="s">
        <v>62</v>
      </c>
      <c r="C79" t="s">
        <v>13</v>
      </c>
      <c r="D79" t="s">
        <v>63</v>
      </c>
      <c r="E79" t="s">
        <v>8</v>
      </c>
      <c r="F79">
        <v>20128</v>
      </c>
      <c r="G79" t="s">
        <v>12</v>
      </c>
      <c r="H79">
        <v>15000</v>
      </c>
      <c r="I79">
        <v>2012.8000000000002</v>
      </c>
    </row>
    <row r="80" spans="1:9" x14ac:dyDescent="0.3">
      <c r="A80" s="2">
        <v>45859</v>
      </c>
      <c r="B80" s="1" t="s">
        <v>62</v>
      </c>
      <c r="C80" t="s">
        <v>13</v>
      </c>
      <c r="D80" t="s">
        <v>63</v>
      </c>
      <c r="E80" t="s">
        <v>8</v>
      </c>
      <c r="F80">
        <v>20717.599999999999</v>
      </c>
      <c r="G80" t="s">
        <v>10</v>
      </c>
      <c r="H80">
        <v>15000</v>
      </c>
      <c r="I80">
        <v>2071.7599999999998</v>
      </c>
    </row>
    <row r="81" spans="1:9" x14ac:dyDescent="0.3">
      <c r="A81" s="2">
        <v>45859</v>
      </c>
      <c r="B81" s="1" t="s">
        <v>60</v>
      </c>
      <c r="C81" t="s">
        <v>14</v>
      </c>
      <c r="D81" t="s">
        <v>61</v>
      </c>
      <c r="E81" t="s">
        <v>8</v>
      </c>
      <c r="F81">
        <v>20797.2</v>
      </c>
      <c r="G81" t="s">
        <v>10</v>
      </c>
      <c r="H81">
        <v>15000</v>
      </c>
      <c r="I81">
        <v>2079.7200000000003</v>
      </c>
    </row>
    <row r="82" spans="1:9" x14ac:dyDescent="0.3">
      <c r="A82" s="2">
        <v>45859</v>
      </c>
      <c r="B82" s="1" t="s">
        <v>62</v>
      </c>
      <c r="C82" t="s">
        <v>13</v>
      </c>
      <c r="D82" t="s">
        <v>63</v>
      </c>
      <c r="E82" t="s">
        <v>8</v>
      </c>
      <c r="F82">
        <v>20868.400000000001</v>
      </c>
      <c r="G82" t="s">
        <v>10</v>
      </c>
      <c r="H82">
        <v>15000</v>
      </c>
      <c r="I82">
        <v>2086.84</v>
      </c>
    </row>
    <row r="83" spans="1:9" x14ac:dyDescent="0.3">
      <c r="A83" s="2">
        <v>45859</v>
      </c>
      <c r="B83" s="1" t="s">
        <v>66</v>
      </c>
      <c r="C83" t="s">
        <v>7</v>
      </c>
      <c r="D83" t="s">
        <v>67</v>
      </c>
      <c r="E83" t="s">
        <v>8</v>
      </c>
      <c r="F83">
        <v>21168</v>
      </c>
      <c r="G83" t="s">
        <v>9</v>
      </c>
      <c r="H83">
        <v>15000</v>
      </c>
      <c r="I83">
        <v>2116.8000000000002</v>
      </c>
    </row>
    <row r="84" spans="1:9" x14ac:dyDescent="0.3">
      <c r="A84" s="2">
        <v>45890</v>
      </c>
      <c r="B84" s="1" t="s">
        <v>64</v>
      </c>
      <c r="C84" t="s">
        <v>11</v>
      </c>
      <c r="D84" t="s">
        <v>65</v>
      </c>
      <c r="E84" t="s">
        <v>8</v>
      </c>
      <c r="F84">
        <v>22477.9</v>
      </c>
      <c r="G84" t="s">
        <v>10</v>
      </c>
      <c r="H84">
        <v>15000</v>
      </c>
      <c r="I84">
        <v>2247.7900000000004</v>
      </c>
    </row>
    <row r="85" spans="1:9" x14ac:dyDescent="0.3">
      <c r="A85" s="2">
        <v>45890</v>
      </c>
      <c r="B85" s="1" t="s">
        <v>60</v>
      </c>
      <c r="C85" t="s">
        <v>14</v>
      </c>
      <c r="D85" t="s">
        <v>61</v>
      </c>
      <c r="E85" t="s">
        <v>8</v>
      </c>
      <c r="F85">
        <v>23364</v>
      </c>
      <c r="G85" t="s">
        <v>10</v>
      </c>
      <c r="H85">
        <v>15000</v>
      </c>
      <c r="I85">
        <v>2336.4</v>
      </c>
    </row>
    <row r="86" spans="1:9" x14ac:dyDescent="0.3">
      <c r="A86" s="2">
        <v>45890</v>
      </c>
      <c r="B86" s="1" t="s">
        <v>64</v>
      </c>
      <c r="C86" t="s">
        <v>11</v>
      </c>
      <c r="D86" t="s">
        <v>65</v>
      </c>
      <c r="E86" t="s">
        <v>8</v>
      </c>
      <c r="F86">
        <v>23997.599999999999</v>
      </c>
      <c r="G86" t="s">
        <v>9</v>
      </c>
      <c r="H86">
        <v>15000</v>
      </c>
      <c r="I86">
        <v>2399.7599999999998</v>
      </c>
    </row>
    <row r="87" spans="1:9" x14ac:dyDescent="0.3">
      <c r="A87" s="2">
        <v>45890</v>
      </c>
      <c r="B87" s="1" t="s">
        <v>62</v>
      </c>
      <c r="C87" t="s">
        <v>13</v>
      </c>
      <c r="D87" t="s">
        <v>63</v>
      </c>
      <c r="E87" t="s">
        <v>8</v>
      </c>
      <c r="F87">
        <v>24395.1</v>
      </c>
      <c r="G87" t="s">
        <v>9</v>
      </c>
      <c r="H87">
        <v>15000</v>
      </c>
      <c r="I87">
        <v>2439.5099999999998</v>
      </c>
    </row>
    <row r="88" spans="1:9" x14ac:dyDescent="0.3">
      <c r="A88" s="2">
        <v>45890</v>
      </c>
      <c r="B88" s="1" t="s">
        <v>60</v>
      </c>
      <c r="C88" t="s">
        <v>14</v>
      </c>
      <c r="D88" t="s">
        <v>61</v>
      </c>
      <c r="E88" t="s">
        <v>8</v>
      </c>
      <c r="F88">
        <v>25102.400000000001</v>
      </c>
      <c r="G88" t="s">
        <v>10</v>
      </c>
      <c r="H88">
        <v>15000</v>
      </c>
      <c r="I88">
        <v>2510.2400000000002</v>
      </c>
    </row>
    <row r="89" spans="1:9" x14ac:dyDescent="0.3">
      <c r="A89" s="2">
        <v>45894</v>
      </c>
      <c r="B89" s="1" t="s">
        <v>66</v>
      </c>
      <c r="C89" t="s">
        <v>7</v>
      </c>
      <c r="D89" t="s">
        <v>67</v>
      </c>
      <c r="E89" t="s">
        <v>8</v>
      </c>
      <c r="F89">
        <v>26866</v>
      </c>
      <c r="G89" t="s">
        <v>12</v>
      </c>
      <c r="H89">
        <v>15000</v>
      </c>
      <c r="I89">
        <v>2686.6000000000004</v>
      </c>
    </row>
    <row r="90" spans="1:9" x14ac:dyDescent="0.3">
      <c r="A90" s="2">
        <v>45894</v>
      </c>
      <c r="B90" s="1" t="s">
        <v>60</v>
      </c>
      <c r="C90" t="s">
        <v>14</v>
      </c>
      <c r="D90" t="s">
        <v>61</v>
      </c>
      <c r="E90" t="s">
        <v>8</v>
      </c>
      <c r="F90">
        <v>27670.9</v>
      </c>
      <c r="G90" t="s">
        <v>12</v>
      </c>
      <c r="H90">
        <v>15000</v>
      </c>
      <c r="I90">
        <v>2767.09</v>
      </c>
    </row>
    <row r="91" spans="1:9" x14ac:dyDescent="0.3">
      <c r="A91" s="2">
        <v>45894</v>
      </c>
      <c r="B91" s="1" t="s">
        <v>66</v>
      </c>
      <c r="C91" t="s">
        <v>7</v>
      </c>
      <c r="D91" t="s">
        <v>67</v>
      </c>
      <c r="E91" t="s">
        <v>8</v>
      </c>
      <c r="F91">
        <v>27916.400000000001</v>
      </c>
      <c r="G91" t="s">
        <v>12</v>
      </c>
      <c r="H91">
        <v>15000</v>
      </c>
      <c r="I91">
        <v>2791.6400000000003</v>
      </c>
    </row>
    <row r="92" spans="1:9" x14ac:dyDescent="0.3">
      <c r="A92" s="2">
        <v>45894</v>
      </c>
      <c r="B92" s="1" t="s">
        <v>60</v>
      </c>
      <c r="C92" t="s">
        <v>14</v>
      </c>
      <c r="D92" t="s">
        <v>61</v>
      </c>
      <c r="E92" t="s">
        <v>8</v>
      </c>
      <c r="F92">
        <v>27956.799999999999</v>
      </c>
      <c r="G92" t="s">
        <v>10</v>
      </c>
      <c r="H92">
        <v>15000</v>
      </c>
      <c r="I92">
        <v>2795.6800000000003</v>
      </c>
    </row>
    <row r="93" spans="1:9" x14ac:dyDescent="0.3">
      <c r="A93" s="2">
        <v>45921</v>
      </c>
      <c r="B93" s="1" t="s">
        <v>57</v>
      </c>
      <c r="C93" t="s">
        <v>58</v>
      </c>
      <c r="D93" t="s">
        <v>59</v>
      </c>
      <c r="E93" t="s">
        <v>8</v>
      </c>
      <c r="F93">
        <v>28395.5</v>
      </c>
      <c r="G93" t="s">
        <v>12</v>
      </c>
      <c r="H93">
        <v>15000</v>
      </c>
      <c r="I93">
        <v>2839.55</v>
      </c>
    </row>
    <row r="94" spans="1:9" x14ac:dyDescent="0.3">
      <c r="A94" s="2">
        <v>45921</v>
      </c>
      <c r="B94" s="1" t="s">
        <v>66</v>
      </c>
      <c r="C94" t="s">
        <v>7</v>
      </c>
      <c r="D94" t="s">
        <v>67</v>
      </c>
      <c r="E94" t="s">
        <v>8</v>
      </c>
      <c r="F94">
        <v>31127.200000000001</v>
      </c>
      <c r="G94" t="s">
        <v>12</v>
      </c>
      <c r="H94">
        <v>15000</v>
      </c>
      <c r="I94">
        <v>3112.7200000000003</v>
      </c>
    </row>
    <row r="95" spans="1:9" x14ac:dyDescent="0.3">
      <c r="A95" s="2">
        <v>45921</v>
      </c>
      <c r="B95" s="1" t="s">
        <v>62</v>
      </c>
      <c r="C95" t="s">
        <v>13</v>
      </c>
      <c r="D95" t="s">
        <v>63</v>
      </c>
      <c r="E95" t="s">
        <v>8</v>
      </c>
      <c r="F95">
        <v>31407</v>
      </c>
      <c r="G95" t="s">
        <v>10</v>
      </c>
      <c r="H95">
        <v>15000</v>
      </c>
      <c r="I95">
        <v>3140.7000000000003</v>
      </c>
    </row>
    <row r="96" spans="1:9" x14ac:dyDescent="0.3">
      <c r="A96" s="2">
        <v>45921</v>
      </c>
      <c r="B96" s="1" t="s">
        <v>64</v>
      </c>
      <c r="C96" t="s">
        <v>11</v>
      </c>
      <c r="D96" t="s">
        <v>65</v>
      </c>
      <c r="E96" t="s">
        <v>8</v>
      </c>
      <c r="F96">
        <v>35647.5</v>
      </c>
      <c r="G96" t="s">
        <v>12</v>
      </c>
      <c r="H96">
        <v>15000</v>
      </c>
      <c r="I96">
        <v>3564.75</v>
      </c>
    </row>
    <row r="97" spans="1:19" x14ac:dyDescent="0.3">
      <c r="A97" s="2">
        <v>45921</v>
      </c>
      <c r="B97" s="1" t="s">
        <v>64</v>
      </c>
      <c r="C97" t="s">
        <v>11</v>
      </c>
      <c r="D97" t="s">
        <v>65</v>
      </c>
      <c r="E97" t="s">
        <v>8</v>
      </c>
      <c r="F97">
        <v>36088.1</v>
      </c>
      <c r="G97" t="s">
        <v>12</v>
      </c>
      <c r="H97">
        <v>15000</v>
      </c>
      <c r="I97">
        <v>3608.81</v>
      </c>
    </row>
    <row r="98" spans="1:19" x14ac:dyDescent="0.3">
      <c r="A98" s="2">
        <v>45921</v>
      </c>
      <c r="B98" s="1" t="s">
        <v>66</v>
      </c>
      <c r="C98" t="s">
        <v>7</v>
      </c>
      <c r="D98" t="s">
        <v>67</v>
      </c>
      <c r="E98" t="s">
        <v>8</v>
      </c>
      <c r="F98">
        <v>36372.1</v>
      </c>
      <c r="G98" t="s">
        <v>9</v>
      </c>
      <c r="H98">
        <v>15000</v>
      </c>
      <c r="I98">
        <v>3637.21</v>
      </c>
    </row>
    <row r="99" spans="1:19" x14ac:dyDescent="0.3">
      <c r="A99" s="2">
        <v>45921</v>
      </c>
      <c r="B99" s="1" t="s">
        <v>64</v>
      </c>
      <c r="C99" t="s">
        <v>11</v>
      </c>
      <c r="D99" t="s">
        <v>65</v>
      </c>
      <c r="E99" t="s">
        <v>8</v>
      </c>
      <c r="F99">
        <v>36530.199999999997</v>
      </c>
      <c r="G99" t="s">
        <v>10</v>
      </c>
      <c r="H99">
        <v>15000</v>
      </c>
      <c r="I99">
        <v>3653.02</v>
      </c>
      <c r="K99">
        <f>SUMIF($B$3:$B$100,#REF!, $F$3:$F$100)</f>
        <v>0</v>
      </c>
      <c r="R99" s="1"/>
      <c r="S99" s="1"/>
    </row>
    <row r="100" spans="1:19" x14ac:dyDescent="0.3">
      <c r="A100" s="2">
        <v>45921</v>
      </c>
      <c r="B100" s="1" t="s">
        <v>66</v>
      </c>
      <c r="C100" t="s">
        <v>7</v>
      </c>
      <c r="D100" t="s">
        <v>67</v>
      </c>
      <c r="E100" t="s">
        <v>8</v>
      </c>
      <c r="F100">
        <v>36896.199999999997</v>
      </c>
      <c r="G100" t="s">
        <v>12</v>
      </c>
      <c r="H100">
        <v>15000</v>
      </c>
      <c r="I100">
        <v>3689.62</v>
      </c>
      <c r="S100" s="1"/>
    </row>
    <row r="101" spans="1:19" x14ac:dyDescent="0.3">
      <c r="A101" s="2">
        <v>45921</v>
      </c>
      <c r="B101" s="1" t="s">
        <v>64</v>
      </c>
      <c r="C101" t="s">
        <v>11</v>
      </c>
      <c r="D101" t="s">
        <v>65</v>
      </c>
      <c r="E101" t="s">
        <v>8</v>
      </c>
      <c r="F101">
        <v>36907.199999999997</v>
      </c>
      <c r="G101" t="s">
        <v>10</v>
      </c>
      <c r="H101">
        <v>15000</v>
      </c>
      <c r="I101">
        <v>3690.72</v>
      </c>
      <c r="S101" s="1"/>
    </row>
    <row r="102" spans="1:19" x14ac:dyDescent="0.3">
      <c r="A102" s="2">
        <v>45921</v>
      </c>
      <c r="B102" s="1" t="s">
        <v>66</v>
      </c>
      <c r="C102" t="s">
        <v>7</v>
      </c>
      <c r="D102" t="s">
        <v>67</v>
      </c>
      <c r="E102" t="s">
        <v>8</v>
      </c>
      <c r="F102">
        <v>37192.5</v>
      </c>
      <c r="G102" t="s">
        <v>12</v>
      </c>
      <c r="H102">
        <v>15000</v>
      </c>
      <c r="I102">
        <v>3719.25</v>
      </c>
      <c r="S102" s="1"/>
    </row>
    <row r="103" spans="1:19" x14ac:dyDescent="0.3">
      <c r="A103" s="2">
        <v>45921</v>
      </c>
      <c r="B103" s="1" t="s">
        <v>62</v>
      </c>
      <c r="C103" t="s">
        <v>13</v>
      </c>
      <c r="D103" t="s">
        <v>63</v>
      </c>
      <c r="E103" t="s">
        <v>8</v>
      </c>
      <c r="F103">
        <v>39186</v>
      </c>
      <c r="G103" t="s">
        <v>10</v>
      </c>
      <c r="H103">
        <v>15000</v>
      </c>
      <c r="I103">
        <v>3918.6000000000004</v>
      </c>
      <c r="S103" s="1"/>
    </row>
    <row r="104" spans="1:19" x14ac:dyDescent="0.3">
      <c r="A104" s="2">
        <v>45951</v>
      </c>
      <c r="B104" s="1" t="s">
        <v>60</v>
      </c>
      <c r="C104" t="s">
        <v>14</v>
      </c>
      <c r="D104" t="s">
        <v>61</v>
      </c>
      <c r="E104" t="s">
        <v>8</v>
      </c>
      <c r="F104">
        <v>39653.9</v>
      </c>
      <c r="G104" t="s">
        <v>12</v>
      </c>
      <c r="H104">
        <v>15000</v>
      </c>
      <c r="I104">
        <v>3965.3900000000003</v>
      </c>
      <c r="S104" s="1"/>
    </row>
    <row r="105" spans="1:19" x14ac:dyDescent="0.3">
      <c r="A105" s="2">
        <v>45951</v>
      </c>
      <c r="B105" s="1" t="s">
        <v>57</v>
      </c>
      <c r="C105" t="s">
        <v>58</v>
      </c>
      <c r="D105" t="s">
        <v>59</v>
      </c>
      <c r="E105" t="s">
        <v>8</v>
      </c>
      <c r="F105">
        <v>41420.699999999997</v>
      </c>
      <c r="G105" t="s">
        <v>9</v>
      </c>
      <c r="H105">
        <v>15000</v>
      </c>
      <c r="I105">
        <v>4142.07</v>
      </c>
      <c r="S105" s="1"/>
    </row>
    <row r="106" spans="1:19" x14ac:dyDescent="0.3">
      <c r="A106" s="2">
        <v>45951</v>
      </c>
      <c r="B106" s="1" t="s">
        <v>62</v>
      </c>
      <c r="C106" t="s">
        <v>13</v>
      </c>
      <c r="D106" t="s">
        <v>63</v>
      </c>
      <c r="E106" t="s">
        <v>8</v>
      </c>
      <c r="F106">
        <v>41429.5</v>
      </c>
      <c r="G106" t="s">
        <v>10</v>
      </c>
      <c r="H106">
        <v>15000</v>
      </c>
      <c r="I106">
        <v>4142.95</v>
      </c>
      <c r="R106" s="1"/>
      <c r="S106" s="1"/>
    </row>
    <row r="107" spans="1:19" x14ac:dyDescent="0.3">
      <c r="A107" s="2">
        <v>45951</v>
      </c>
      <c r="B107" s="1" t="s">
        <v>66</v>
      </c>
      <c r="C107" t="s">
        <v>7</v>
      </c>
      <c r="D107" t="s">
        <v>67</v>
      </c>
      <c r="E107" t="s">
        <v>8</v>
      </c>
      <c r="F107">
        <v>42249.1</v>
      </c>
      <c r="G107" t="s">
        <v>10</v>
      </c>
      <c r="H107">
        <v>15000</v>
      </c>
      <c r="I107">
        <v>4224.91</v>
      </c>
    </row>
    <row r="108" spans="1:19" x14ac:dyDescent="0.3">
      <c r="A108" s="2">
        <v>45951</v>
      </c>
      <c r="B108" s="1" t="s">
        <v>57</v>
      </c>
      <c r="C108" t="s">
        <v>58</v>
      </c>
      <c r="D108" t="s">
        <v>59</v>
      </c>
      <c r="E108" t="s">
        <v>8</v>
      </c>
      <c r="F108">
        <v>43388.1</v>
      </c>
      <c r="G108" t="s">
        <v>10</v>
      </c>
      <c r="H108">
        <v>15000</v>
      </c>
      <c r="I108">
        <v>4338.8100000000004</v>
      </c>
    </row>
    <row r="109" spans="1:19" x14ac:dyDescent="0.3">
      <c r="A109" s="2">
        <v>45951</v>
      </c>
      <c r="B109" s="1" t="s">
        <v>66</v>
      </c>
      <c r="C109" t="s">
        <v>7</v>
      </c>
      <c r="D109" t="s">
        <v>67</v>
      </c>
      <c r="E109" t="s">
        <v>8</v>
      </c>
      <c r="F109">
        <v>46716</v>
      </c>
      <c r="G109" t="s">
        <v>9</v>
      </c>
      <c r="H109">
        <v>15000</v>
      </c>
      <c r="I109">
        <v>4671.6000000000004</v>
      </c>
    </row>
    <row r="110" spans="1:19" x14ac:dyDescent="0.3">
      <c r="A110" s="2">
        <v>45951</v>
      </c>
      <c r="B110" s="1" t="s">
        <v>57</v>
      </c>
      <c r="C110" t="s">
        <v>58</v>
      </c>
      <c r="D110" t="s">
        <v>59</v>
      </c>
      <c r="E110" t="s">
        <v>8</v>
      </c>
      <c r="F110">
        <v>1171.6500000000001</v>
      </c>
      <c r="G110" t="s">
        <v>9</v>
      </c>
      <c r="H110">
        <v>15000</v>
      </c>
      <c r="I110">
        <v>0</v>
      </c>
    </row>
    <row r="111" spans="1:19" x14ac:dyDescent="0.3">
      <c r="A111" s="2">
        <v>45951</v>
      </c>
      <c r="B111" s="1" t="s">
        <v>64</v>
      </c>
      <c r="C111" t="s">
        <v>11</v>
      </c>
      <c r="D111" t="s">
        <v>65</v>
      </c>
      <c r="E111" t="s">
        <v>8</v>
      </c>
      <c r="F111">
        <v>1696.8</v>
      </c>
      <c r="G111" t="s">
        <v>12</v>
      </c>
      <c r="H111">
        <v>15000</v>
      </c>
      <c r="I111">
        <v>0</v>
      </c>
    </row>
    <row r="112" spans="1:19" x14ac:dyDescent="0.3">
      <c r="A112" s="2">
        <v>45951</v>
      </c>
      <c r="B112" s="1" t="s">
        <v>64</v>
      </c>
      <c r="C112" t="s">
        <v>11</v>
      </c>
      <c r="D112" t="s">
        <v>65</v>
      </c>
      <c r="E112" t="s">
        <v>8</v>
      </c>
      <c r="F112">
        <v>569.64</v>
      </c>
      <c r="G112" t="s">
        <v>9</v>
      </c>
      <c r="H112">
        <v>15000</v>
      </c>
      <c r="I112">
        <v>0</v>
      </c>
    </row>
    <row r="113" spans="1:9" x14ac:dyDescent="0.3">
      <c r="A113" s="2">
        <v>45951</v>
      </c>
      <c r="B113" s="1" t="s">
        <v>64</v>
      </c>
      <c r="C113" t="s">
        <v>11</v>
      </c>
      <c r="D113" t="s">
        <v>65</v>
      </c>
      <c r="E113" t="s">
        <v>8</v>
      </c>
      <c r="F113">
        <v>1818.84</v>
      </c>
      <c r="G113" t="s">
        <v>10</v>
      </c>
      <c r="H113">
        <v>15000</v>
      </c>
      <c r="I113">
        <v>0</v>
      </c>
    </row>
    <row r="114" spans="1:9" x14ac:dyDescent="0.3">
      <c r="A114" s="2">
        <v>45951</v>
      </c>
      <c r="B114" s="1" t="s">
        <v>62</v>
      </c>
      <c r="C114" t="s">
        <v>13</v>
      </c>
      <c r="D114" t="s">
        <v>63</v>
      </c>
      <c r="E114" t="s">
        <v>8</v>
      </c>
      <c r="F114">
        <v>1799.35</v>
      </c>
      <c r="G114" t="s">
        <v>9</v>
      </c>
      <c r="H114">
        <v>15000</v>
      </c>
      <c r="I114">
        <v>0</v>
      </c>
    </row>
    <row r="115" spans="1:9" x14ac:dyDescent="0.3">
      <c r="A115" s="2">
        <v>45951</v>
      </c>
      <c r="B115" s="1" t="s">
        <v>57</v>
      </c>
      <c r="C115" t="s">
        <v>58</v>
      </c>
      <c r="D115" t="s">
        <v>59</v>
      </c>
      <c r="E115" t="s">
        <v>8</v>
      </c>
      <c r="F115">
        <v>1649.94</v>
      </c>
      <c r="G115" t="s">
        <v>10</v>
      </c>
      <c r="H115">
        <v>15000</v>
      </c>
      <c r="I115">
        <v>0</v>
      </c>
    </row>
    <row r="116" spans="1:9" x14ac:dyDescent="0.3">
      <c r="A116" s="2">
        <v>45951</v>
      </c>
      <c r="B116" s="1" t="s">
        <v>66</v>
      </c>
      <c r="C116" t="s">
        <v>74</v>
      </c>
      <c r="D116" t="s">
        <v>67</v>
      </c>
      <c r="E116" t="s">
        <v>8</v>
      </c>
      <c r="F116">
        <v>1441.6</v>
      </c>
      <c r="G116" t="s">
        <v>12</v>
      </c>
      <c r="H116">
        <v>15000</v>
      </c>
      <c r="I116">
        <v>0</v>
      </c>
    </row>
    <row r="117" spans="1:9" x14ac:dyDescent="0.3">
      <c r="A117" s="2">
        <v>45951</v>
      </c>
      <c r="B117" s="1" t="s">
        <v>62</v>
      </c>
      <c r="C117" t="s">
        <v>13</v>
      </c>
      <c r="D117" t="s">
        <v>63</v>
      </c>
      <c r="E117" t="s">
        <v>8</v>
      </c>
      <c r="F117">
        <v>376.05</v>
      </c>
      <c r="G117" t="s">
        <v>9</v>
      </c>
      <c r="H117">
        <v>15000</v>
      </c>
      <c r="I117">
        <v>0</v>
      </c>
    </row>
    <row r="118" spans="1:9" x14ac:dyDescent="0.3">
      <c r="A118" s="2">
        <v>45951</v>
      </c>
      <c r="B118" s="1" t="s">
        <v>64</v>
      </c>
      <c r="C118" t="s">
        <v>11</v>
      </c>
      <c r="D118" t="s">
        <v>65</v>
      </c>
      <c r="E118" t="s">
        <v>8</v>
      </c>
      <c r="F118">
        <v>3608.81</v>
      </c>
      <c r="G118" t="s">
        <v>12</v>
      </c>
      <c r="H118">
        <v>15000</v>
      </c>
      <c r="I118">
        <v>0</v>
      </c>
    </row>
    <row r="119" spans="1:9" x14ac:dyDescent="0.3">
      <c r="A119" s="2">
        <v>45951</v>
      </c>
      <c r="B119" s="1" t="s">
        <v>62</v>
      </c>
      <c r="C119" t="s">
        <v>13</v>
      </c>
      <c r="D119" t="s">
        <v>63</v>
      </c>
      <c r="E119" t="s">
        <v>8</v>
      </c>
      <c r="F119">
        <v>969.76</v>
      </c>
      <c r="G119" t="s">
        <v>10</v>
      </c>
      <c r="H119">
        <v>15000</v>
      </c>
      <c r="I119">
        <v>0</v>
      </c>
    </row>
    <row r="120" spans="1:9" x14ac:dyDescent="0.3">
      <c r="A120" s="2">
        <v>45951</v>
      </c>
      <c r="B120" s="1" t="s">
        <v>64</v>
      </c>
      <c r="C120" t="s">
        <v>11</v>
      </c>
      <c r="D120" t="s">
        <v>65</v>
      </c>
      <c r="E120" t="s">
        <v>8</v>
      </c>
      <c r="F120">
        <v>2247.79</v>
      </c>
      <c r="G120" t="s">
        <v>10</v>
      </c>
      <c r="H120">
        <v>15000</v>
      </c>
      <c r="I120">
        <v>0</v>
      </c>
    </row>
    <row r="121" spans="1:9" x14ac:dyDescent="0.3">
      <c r="A121" s="2">
        <v>45951</v>
      </c>
      <c r="B121" s="1" t="s">
        <v>62</v>
      </c>
      <c r="C121" t="s">
        <v>13</v>
      </c>
      <c r="D121" t="s">
        <v>63</v>
      </c>
      <c r="E121" t="s">
        <v>8</v>
      </c>
      <c r="F121">
        <v>432.28</v>
      </c>
      <c r="G121" t="s">
        <v>12</v>
      </c>
      <c r="H121">
        <v>15000</v>
      </c>
      <c r="I121">
        <v>0</v>
      </c>
    </row>
    <row r="122" spans="1:9" x14ac:dyDescent="0.3">
      <c r="A122" s="2">
        <v>45951</v>
      </c>
      <c r="B122" s="1" t="s">
        <v>57</v>
      </c>
      <c r="C122" t="s">
        <v>58</v>
      </c>
      <c r="D122" t="s">
        <v>59</v>
      </c>
      <c r="E122" t="s">
        <v>8</v>
      </c>
      <c r="F122">
        <v>4338.8100000000004</v>
      </c>
      <c r="G122" t="s">
        <v>10</v>
      </c>
      <c r="H122">
        <v>15000</v>
      </c>
      <c r="I122">
        <v>0</v>
      </c>
    </row>
    <row r="123" spans="1:9" x14ac:dyDescent="0.3">
      <c r="A123" s="2">
        <v>45951</v>
      </c>
      <c r="B123" s="1" t="s">
        <v>66</v>
      </c>
      <c r="C123" t="s">
        <v>74</v>
      </c>
      <c r="D123" t="s">
        <v>67</v>
      </c>
      <c r="E123" t="s">
        <v>8</v>
      </c>
      <c r="F123">
        <v>1567.02</v>
      </c>
      <c r="G123" t="s">
        <v>12</v>
      </c>
      <c r="H123">
        <v>15000</v>
      </c>
      <c r="I123">
        <v>0</v>
      </c>
    </row>
    <row r="124" spans="1:9" x14ac:dyDescent="0.3">
      <c r="A124" s="2">
        <v>45955</v>
      </c>
      <c r="B124" s="1" t="s">
        <v>62</v>
      </c>
      <c r="C124" t="s">
        <v>13</v>
      </c>
      <c r="D124" t="s">
        <v>63</v>
      </c>
      <c r="E124" t="s">
        <v>8</v>
      </c>
      <c r="F124">
        <v>1039.17</v>
      </c>
      <c r="G124" t="s">
        <v>12</v>
      </c>
      <c r="H124">
        <v>15000</v>
      </c>
      <c r="I124">
        <v>0</v>
      </c>
    </row>
    <row r="125" spans="1:9" x14ac:dyDescent="0.3">
      <c r="A125" s="2">
        <v>45955</v>
      </c>
      <c r="B125" s="1" t="s">
        <v>66</v>
      </c>
      <c r="C125" t="s">
        <v>74</v>
      </c>
      <c r="D125" t="s">
        <v>67</v>
      </c>
      <c r="E125" t="s">
        <v>8</v>
      </c>
      <c r="F125">
        <v>700.92</v>
      </c>
      <c r="G125" t="s">
        <v>10</v>
      </c>
      <c r="H125">
        <v>15000</v>
      </c>
      <c r="I125">
        <v>0</v>
      </c>
    </row>
    <row r="126" spans="1:9" x14ac:dyDescent="0.3">
      <c r="A126" s="2">
        <v>45955</v>
      </c>
      <c r="B126" s="1" t="s">
        <v>57</v>
      </c>
      <c r="C126" t="s">
        <v>58</v>
      </c>
      <c r="D126" t="s">
        <v>59</v>
      </c>
      <c r="E126" t="s">
        <v>8</v>
      </c>
      <c r="F126">
        <v>891.45</v>
      </c>
      <c r="G126" t="s">
        <v>9</v>
      </c>
      <c r="H126">
        <v>15000</v>
      </c>
      <c r="I126">
        <v>0</v>
      </c>
    </row>
    <row r="127" spans="1:9" x14ac:dyDescent="0.3">
      <c r="A127" s="2">
        <v>45955</v>
      </c>
      <c r="B127" s="1" t="s">
        <v>64</v>
      </c>
      <c r="C127" t="s">
        <v>11</v>
      </c>
      <c r="D127" t="s">
        <v>65</v>
      </c>
      <c r="E127" t="s">
        <v>8</v>
      </c>
      <c r="F127">
        <v>708.89</v>
      </c>
      <c r="G127" t="s">
        <v>9</v>
      </c>
      <c r="H127">
        <v>15000</v>
      </c>
      <c r="I127">
        <v>0</v>
      </c>
    </row>
    <row r="128" spans="1:9" x14ac:dyDescent="0.3">
      <c r="A128" s="2">
        <v>45955</v>
      </c>
      <c r="B128" s="1" t="s">
        <v>66</v>
      </c>
      <c r="C128" t="s">
        <v>74</v>
      </c>
      <c r="D128" t="s">
        <v>67</v>
      </c>
      <c r="E128" t="s">
        <v>8</v>
      </c>
      <c r="F128">
        <v>809.55</v>
      </c>
      <c r="G128" t="s">
        <v>9</v>
      </c>
      <c r="H128">
        <v>15000</v>
      </c>
      <c r="I128">
        <v>0</v>
      </c>
    </row>
    <row r="129" spans="1:9" x14ac:dyDescent="0.3">
      <c r="A129" s="2">
        <v>45955</v>
      </c>
      <c r="B129" s="1" t="s">
        <v>57</v>
      </c>
      <c r="C129" t="s">
        <v>58</v>
      </c>
      <c r="D129" t="s">
        <v>59</v>
      </c>
      <c r="E129" t="s">
        <v>8</v>
      </c>
      <c r="F129">
        <v>734.32</v>
      </c>
      <c r="G129" t="s">
        <v>10</v>
      </c>
      <c r="H129">
        <v>15000</v>
      </c>
      <c r="I129">
        <v>0</v>
      </c>
    </row>
    <row r="130" spans="1:9" x14ac:dyDescent="0.3">
      <c r="A130" s="2">
        <v>45955</v>
      </c>
      <c r="B130" s="1" t="s">
        <v>57</v>
      </c>
      <c r="C130" t="s">
        <v>58</v>
      </c>
      <c r="D130" t="s">
        <v>59</v>
      </c>
      <c r="E130" t="s">
        <v>8</v>
      </c>
      <c r="F130">
        <v>2839.55</v>
      </c>
      <c r="G130" t="s">
        <v>12</v>
      </c>
      <c r="H130">
        <v>15000</v>
      </c>
      <c r="I130">
        <v>0</v>
      </c>
    </row>
    <row r="131" spans="1:9" x14ac:dyDescent="0.3">
      <c r="A131" s="2">
        <v>45955</v>
      </c>
      <c r="B131" s="1" t="s">
        <v>57</v>
      </c>
      <c r="C131" t="s">
        <v>58</v>
      </c>
      <c r="D131" t="s">
        <v>59</v>
      </c>
      <c r="E131" t="s">
        <v>8</v>
      </c>
      <c r="F131">
        <v>453.1</v>
      </c>
      <c r="G131" t="s">
        <v>12</v>
      </c>
      <c r="H131">
        <v>15000</v>
      </c>
      <c r="I131">
        <v>0</v>
      </c>
    </row>
    <row r="132" spans="1:9" x14ac:dyDescent="0.3">
      <c r="A132" s="2">
        <v>45982</v>
      </c>
      <c r="B132" s="1" t="s">
        <v>60</v>
      </c>
      <c r="C132" t="s">
        <v>14</v>
      </c>
      <c r="D132" t="s">
        <v>61</v>
      </c>
      <c r="E132" t="s">
        <v>8</v>
      </c>
      <c r="F132">
        <v>1774.8</v>
      </c>
      <c r="G132" t="s">
        <v>9</v>
      </c>
      <c r="H132">
        <v>15000</v>
      </c>
      <c r="I132">
        <v>0</v>
      </c>
    </row>
    <row r="133" spans="1:9" x14ac:dyDescent="0.3">
      <c r="A133" s="2">
        <v>45982</v>
      </c>
      <c r="B133" s="1" t="s">
        <v>57</v>
      </c>
      <c r="C133" t="s">
        <v>58</v>
      </c>
      <c r="D133" t="s">
        <v>59</v>
      </c>
      <c r="E133" t="s">
        <v>8</v>
      </c>
      <c r="F133">
        <v>735.66</v>
      </c>
      <c r="G133" t="s">
        <v>9</v>
      </c>
      <c r="H133">
        <v>15000</v>
      </c>
      <c r="I133">
        <v>0</v>
      </c>
    </row>
    <row r="134" spans="1:9" x14ac:dyDescent="0.3">
      <c r="A134" s="2">
        <v>45982</v>
      </c>
      <c r="B134" s="1" t="s">
        <v>60</v>
      </c>
      <c r="C134" t="s">
        <v>14</v>
      </c>
      <c r="D134" t="s">
        <v>61</v>
      </c>
      <c r="E134" t="s">
        <v>8</v>
      </c>
      <c r="F134">
        <v>675.18</v>
      </c>
      <c r="G134" t="s">
        <v>10</v>
      </c>
      <c r="H134">
        <v>15000</v>
      </c>
      <c r="I134">
        <v>0</v>
      </c>
    </row>
    <row r="135" spans="1:9" x14ac:dyDescent="0.3">
      <c r="A135" s="2">
        <v>45982</v>
      </c>
      <c r="B135" s="1" t="s">
        <v>62</v>
      </c>
      <c r="C135" t="s">
        <v>13</v>
      </c>
      <c r="D135" t="s">
        <v>63</v>
      </c>
      <c r="E135" t="s">
        <v>8</v>
      </c>
      <c r="F135">
        <v>4142.95</v>
      </c>
      <c r="G135" t="s">
        <v>10</v>
      </c>
      <c r="H135">
        <v>15000</v>
      </c>
      <c r="I135">
        <v>0</v>
      </c>
    </row>
    <row r="136" spans="1:9" x14ac:dyDescent="0.3">
      <c r="A136" s="2">
        <v>45982</v>
      </c>
      <c r="B136" s="1" t="s">
        <v>66</v>
      </c>
      <c r="C136" t="s">
        <v>74</v>
      </c>
      <c r="D136" t="s">
        <v>67</v>
      </c>
      <c r="E136" t="s">
        <v>8</v>
      </c>
      <c r="F136">
        <v>3637.21</v>
      </c>
      <c r="G136" t="s">
        <v>9</v>
      </c>
      <c r="H136">
        <v>15000</v>
      </c>
      <c r="I136">
        <v>0</v>
      </c>
    </row>
    <row r="137" spans="1:9" x14ac:dyDescent="0.3">
      <c r="A137" s="2">
        <v>45982</v>
      </c>
      <c r="B137" s="1" t="s">
        <v>62</v>
      </c>
      <c r="C137" t="s">
        <v>13</v>
      </c>
      <c r="D137" t="s">
        <v>63</v>
      </c>
      <c r="E137" t="s">
        <v>8</v>
      </c>
      <c r="F137">
        <v>3918.6</v>
      </c>
      <c r="G137" t="s">
        <v>10</v>
      </c>
      <c r="H137">
        <v>15000</v>
      </c>
      <c r="I137">
        <v>0</v>
      </c>
    </row>
    <row r="138" spans="1:9" x14ac:dyDescent="0.3">
      <c r="A138" s="2">
        <v>45982</v>
      </c>
      <c r="B138" s="1" t="s">
        <v>57</v>
      </c>
      <c r="C138" t="s">
        <v>58</v>
      </c>
      <c r="D138" t="s">
        <v>59</v>
      </c>
      <c r="E138" t="s">
        <v>8</v>
      </c>
      <c r="F138">
        <v>694.54</v>
      </c>
      <c r="G138" t="s">
        <v>12</v>
      </c>
      <c r="H138">
        <v>15000</v>
      </c>
      <c r="I138">
        <v>0</v>
      </c>
    </row>
    <row r="139" spans="1:9" x14ac:dyDescent="0.3">
      <c r="A139" s="2">
        <v>45982</v>
      </c>
      <c r="B139" s="1" t="s">
        <v>66</v>
      </c>
      <c r="C139" t="s">
        <v>74</v>
      </c>
      <c r="D139" t="s">
        <v>75</v>
      </c>
      <c r="E139" t="s">
        <v>8</v>
      </c>
      <c r="F139">
        <v>3112.72</v>
      </c>
      <c r="G139" t="s">
        <v>12</v>
      </c>
      <c r="H139">
        <v>15000</v>
      </c>
      <c r="I139">
        <v>0</v>
      </c>
    </row>
    <row r="140" spans="1:9" x14ac:dyDescent="0.3">
      <c r="A140" s="2">
        <v>45982</v>
      </c>
      <c r="B140" s="1" t="s">
        <v>57</v>
      </c>
      <c r="C140" t="s">
        <v>58</v>
      </c>
      <c r="D140" t="s">
        <v>59</v>
      </c>
      <c r="E140" t="s">
        <v>8</v>
      </c>
      <c r="F140">
        <v>1001.92</v>
      </c>
      <c r="G140" t="s">
        <v>12</v>
      </c>
      <c r="H140">
        <v>15000</v>
      </c>
      <c r="I140">
        <v>0</v>
      </c>
    </row>
    <row r="141" spans="1:9" x14ac:dyDescent="0.3">
      <c r="A141" s="2">
        <v>45982</v>
      </c>
      <c r="B141" s="1" t="s">
        <v>64</v>
      </c>
      <c r="C141" t="s">
        <v>11</v>
      </c>
      <c r="D141" t="s">
        <v>65</v>
      </c>
      <c r="E141" t="s">
        <v>8</v>
      </c>
      <c r="F141">
        <v>1638.56</v>
      </c>
      <c r="G141" t="s">
        <v>9</v>
      </c>
      <c r="H141">
        <v>15000</v>
      </c>
      <c r="I141">
        <v>0</v>
      </c>
    </row>
    <row r="142" spans="1:9" x14ac:dyDescent="0.3">
      <c r="A142" s="2">
        <v>45982</v>
      </c>
      <c r="B142" s="1" t="s">
        <v>62</v>
      </c>
      <c r="C142" t="s">
        <v>13</v>
      </c>
      <c r="D142" t="s">
        <v>63</v>
      </c>
      <c r="E142" t="s">
        <v>8</v>
      </c>
      <c r="F142">
        <v>1910.8</v>
      </c>
      <c r="G142" t="s">
        <v>10</v>
      </c>
      <c r="H142">
        <v>15000</v>
      </c>
      <c r="I142">
        <v>0</v>
      </c>
    </row>
    <row r="143" spans="1:9" x14ac:dyDescent="0.3">
      <c r="A143" s="2">
        <v>45982</v>
      </c>
      <c r="B143" s="1" t="s">
        <v>57</v>
      </c>
      <c r="C143" t="s">
        <v>58</v>
      </c>
      <c r="D143" t="s">
        <v>59</v>
      </c>
      <c r="E143" t="s">
        <v>8</v>
      </c>
      <c r="F143">
        <v>765.82</v>
      </c>
      <c r="G143" t="s">
        <v>12</v>
      </c>
      <c r="H143">
        <v>15000</v>
      </c>
      <c r="I143">
        <v>0</v>
      </c>
    </row>
    <row r="144" spans="1:9" x14ac:dyDescent="0.3">
      <c r="A144" s="2">
        <v>45982</v>
      </c>
      <c r="B144" s="1" t="s">
        <v>62</v>
      </c>
      <c r="C144" t="s">
        <v>13</v>
      </c>
      <c r="D144" t="s">
        <v>63</v>
      </c>
      <c r="E144" t="s">
        <v>8</v>
      </c>
      <c r="F144">
        <v>765.86</v>
      </c>
      <c r="G144" t="s">
        <v>10</v>
      </c>
      <c r="H144">
        <v>15000</v>
      </c>
      <c r="I144">
        <v>0</v>
      </c>
    </row>
    <row r="145" spans="1:9" x14ac:dyDescent="0.3">
      <c r="A145" s="2">
        <v>45982</v>
      </c>
      <c r="B145" s="1" t="s">
        <v>66</v>
      </c>
      <c r="C145" t="s">
        <v>74</v>
      </c>
      <c r="D145" t="s">
        <v>75</v>
      </c>
      <c r="E145" t="s">
        <v>8</v>
      </c>
      <c r="F145">
        <v>4671.6000000000004</v>
      </c>
      <c r="G145" t="s">
        <v>9</v>
      </c>
      <c r="H145">
        <v>15000</v>
      </c>
      <c r="I145">
        <v>0</v>
      </c>
    </row>
    <row r="146" spans="1:9" x14ac:dyDescent="0.3">
      <c r="A146" s="2">
        <v>45982</v>
      </c>
      <c r="B146" s="1" t="s">
        <v>57</v>
      </c>
      <c r="C146" t="s">
        <v>58</v>
      </c>
      <c r="D146" t="s">
        <v>59</v>
      </c>
      <c r="E146" t="s">
        <v>8</v>
      </c>
      <c r="F146">
        <v>1945.6</v>
      </c>
      <c r="G146" t="s">
        <v>9</v>
      </c>
      <c r="H146">
        <v>15000</v>
      </c>
      <c r="I146">
        <v>0</v>
      </c>
    </row>
    <row r="147" spans="1:9" x14ac:dyDescent="0.3">
      <c r="A147" s="2">
        <v>45982</v>
      </c>
      <c r="B147" s="1" t="s">
        <v>62</v>
      </c>
      <c r="C147" t="s">
        <v>13</v>
      </c>
      <c r="D147" t="s">
        <v>63</v>
      </c>
      <c r="E147" t="s">
        <v>8</v>
      </c>
      <c r="F147">
        <v>1017.6</v>
      </c>
      <c r="G147" t="s">
        <v>10</v>
      </c>
      <c r="H147">
        <v>15000</v>
      </c>
      <c r="I147">
        <v>0</v>
      </c>
    </row>
    <row r="148" spans="1:9" x14ac:dyDescent="0.3">
      <c r="A148" s="2">
        <v>45982</v>
      </c>
      <c r="B148" s="1" t="s">
        <v>64</v>
      </c>
      <c r="C148" t="s">
        <v>11</v>
      </c>
      <c r="D148" t="s">
        <v>65</v>
      </c>
      <c r="E148" t="s">
        <v>8</v>
      </c>
      <c r="F148">
        <v>909.86</v>
      </c>
      <c r="G148" t="s">
        <v>12</v>
      </c>
      <c r="H148">
        <v>15000</v>
      </c>
      <c r="I148">
        <v>0</v>
      </c>
    </row>
    <row r="149" spans="1:9" x14ac:dyDescent="0.3">
      <c r="A149" s="2">
        <v>45982</v>
      </c>
      <c r="B149" s="1" t="s">
        <v>64</v>
      </c>
      <c r="C149" t="s">
        <v>11</v>
      </c>
      <c r="D149" t="s">
        <v>65</v>
      </c>
      <c r="E149" t="s">
        <v>8</v>
      </c>
      <c r="F149">
        <v>533.28</v>
      </c>
      <c r="G149" t="s">
        <v>10</v>
      </c>
      <c r="H149">
        <v>15000</v>
      </c>
      <c r="I149">
        <v>0</v>
      </c>
    </row>
    <row r="150" spans="1:9" x14ac:dyDescent="0.3">
      <c r="A150" s="2">
        <v>45982</v>
      </c>
      <c r="B150" s="1" t="s">
        <v>60</v>
      </c>
      <c r="C150" t="s">
        <v>14</v>
      </c>
      <c r="D150" t="s">
        <v>61</v>
      </c>
      <c r="E150" t="s">
        <v>8</v>
      </c>
      <c r="F150">
        <v>346.5</v>
      </c>
      <c r="G150" t="s">
        <v>10</v>
      </c>
      <c r="H150">
        <v>15000</v>
      </c>
      <c r="I150">
        <v>0</v>
      </c>
    </row>
    <row r="151" spans="1:9" x14ac:dyDescent="0.3">
      <c r="A151" s="2">
        <v>45982</v>
      </c>
      <c r="B151" s="1" t="s">
        <v>62</v>
      </c>
      <c r="C151" t="s">
        <v>13</v>
      </c>
      <c r="D151" t="s">
        <v>63</v>
      </c>
      <c r="E151" t="s">
        <v>8</v>
      </c>
      <c r="F151">
        <v>806.56</v>
      </c>
      <c r="G151" t="s">
        <v>12</v>
      </c>
      <c r="H151">
        <v>15000</v>
      </c>
      <c r="I151">
        <v>0</v>
      </c>
    </row>
    <row r="152" spans="1:9" x14ac:dyDescent="0.3">
      <c r="A152" s="2">
        <v>45982</v>
      </c>
      <c r="B152" s="1" t="s">
        <v>62</v>
      </c>
      <c r="C152" t="s">
        <v>13</v>
      </c>
      <c r="D152" t="s">
        <v>63</v>
      </c>
      <c r="E152" t="s">
        <v>8</v>
      </c>
      <c r="F152">
        <v>1154.3</v>
      </c>
      <c r="G152" t="s">
        <v>9</v>
      </c>
      <c r="H152">
        <v>15000</v>
      </c>
      <c r="I152">
        <v>0</v>
      </c>
    </row>
    <row r="153" spans="1:9" x14ac:dyDescent="0.3">
      <c r="A153" s="2">
        <v>45982</v>
      </c>
      <c r="B153" s="1" t="s">
        <v>66</v>
      </c>
      <c r="C153" t="s">
        <v>74</v>
      </c>
      <c r="D153" t="s">
        <v>75</v>
      </c>
      <c r="E153" t="s">
        <v>8</v>
      </c>
      <c r="F153">
        <v>1115.55</v>
      </c>
      <c r="G153" t="s">
        <v>9</v>
      </c>
      <c r="H153">
        <v>15000</v>
      </c>
      <c r="I153">
        <v>0</v>
      </c>
    </row>
    <row r="154" spans="1:9" x14ac:dyDescent="0.3">
      <c r="A154" s="2">
        <v>45982</v>
      </c>
      <c r="B154" s="1" t="s">
        <v>62</v>
      </c>
      <c r="C154" t="s">
        <v>13</v>
      </c>
      <c r="D154" t="s">
        <v>63</v>
      </c>
      <c r="E154" t="s">
        <v>8</v>
      </c>
      <c r="F154">
        <v>1064.9000000000001</v>
      </c>
      <c r="G154" t="s">
        <v>12</v>
      </c>
      <c r="H154">
        <v>15000</v>
      </c>
      <c r="I154">
        <v>0</v>
      </c>
    </row>
    <row r="155" spans="1:9" x14ac:dyDescent="0.3">
      <c r="A155" s="2">
        <v>45982</v>
      </c>
      <c r="B155" s="1" t="s">
        <v>62</v>
      </c>
      <c r="C155" t="s">
        <v>13</v>
      </c>
      <c r="D155" t="s">
        <v>63</v>
      </c>
      <c r="E155" t="s">
        <v>8</v>
      </c>
      <c r="F155">
        <v>2439.5100000000002</v>
      </c>
      <c r="G155" t="s">
        <v>9</v>
      </c>
      <c r="H155">
        <v>15000</v>
      </c>
      <c r="I155">
        <v>0</v>
      </c>
    </row>
    <row r="156" spans="1:9" x14ac:dyDescent="0.3">
      <c r="A156" s="2">
        <v>45982</v>
      </c>
      <c r="B156" s="1" t="s">
        <v>62</v>
      </c>
      <c r="C156" t="s">
        <v>13</v>
      </c>
      <c r="D156" t="s">
        <v>63</v>
      </c>
      <c r="E156" t="s">
        <v>8</v>
      </c>
      <c r="F156">
        <v>1563.32</v>
      </c>
      <c r="G156" t="s">
        <v>10</v>
      </c>
      <c r="H156">
        <v>15000</v>
      </c>
      <c r="I156">
        <v>0</v>
      </c>
    </row>
    <row r="157" spans="1:9" x14ac:dyDescent="0.3">
      <c r="A157" s="2">
        <v>45982</v>
      </c>
      <c r="B157" s="1" t="s">
        <v>64</v>
      </c>
      <c r="C157" t="s">
        <v>11</v>
      </c>
      <c r="D157" t="s">
        <v>65</v>
      </c>
      <c r="E157" t="s">
        <v>8</v>
      </c>
      <c r="F157">
        <v>1067.94</v>
      </c>
      <c r="G157" t="s">
        <v>12</v>
      </c>
      <c r="H157">
        <v>15000</v>
      </c>
      <c r="I157">
        <v>0</v>
      </c>
    </row>
    <row r="158" spans="1:9" x14ac:dyDescent="0.3">
      <c r="A158" s="2">
        <v>45982</v>
      </c>
      <c r="B158" s="1" t="s">
        <v>62</v>
      </c>
      <c r="C158" t="s">
        <v>13</v>
      </c>
      <c r="D158" t="s">
        <v>63</v>
      </c>
      <c r="E158" t="s">
        <v>8</v>
      </c>
      <c r="F158">
        <v>2086.84</v>
      </c>
      <c r="G158" t="s">
        <v>10</v>
      </c>
      <c r="H158">
        <v>15000</v>
      </c>
      <c r="I158">
        <v>0</v>
      </c>
    </row>
    <row r="159" spans="1:9" x14ac:dyDescent="0.3">
      <c r="A159" s="2">
        <v>45982</v>
      </c>
      <c r="B159" s="1" t="s">
        <v>62</v>
      </c>
      <c r="C159" t="s">
        <v>13</v>
      </c>
      <c r="D159" t="s">
        <v>63</v>
      </c>
      <c r="E159" t="s">
        <v>8</v>
      </c>
      <c r="F159">
        <v>1006.72</v>
      </c>
      <c r="G159" t="s">
        <v>12</v>
      </c>
      <c r="H159">
        <v>15000</v>
      </c>
      <c r="I159">
        <v>0</v>
      </c>
    </row>
    <row r="160" spans="1:9" x14ac:dyDescent="0.3">
      <c r="A160" s="2">
        <v>45982</v>
      </c>
      <c r="B160" s="1" t="s">
        <v>62</v>
      </c>
      <c r="C160" t="s">
        <v>13</v>
      </c>
      <c r="D160" t="s">
        <v>63</v>
      </c>
      <c r="E160" t="s">
        <v>8</v>
      </c>
      <c r="F160">
        <v>957.48</v>
      </c>
      <c r="G160" t="s">
        <v>10</v>
      </c>
      <c r="H160">
        <v>15000</v>
      </c>
      <c r="I160">
        <v>0</v>
      </c>
    </row>
    <row r="161" spans="1:9" x14ac:dyDescent="0.3">
      <c r="A161" s="2">
        <v>45982</v>
      </c>
      <c r="B161" s="1" t="s">
        <v>60</v>
      </c>
      <c r="C161" t="s">
        <v>14</v>
      </c>
      <c r="D161" t="s">
        <v>61</v>
      </c>
      <c r="E161" t="s">
        <v>8</v>
      </c>
      <c r="F161">
        <v>1506.12</v>
      </c>
      <c r="G161" t="s">
        <v>10</v>
      </c>
      <c r="H161">
        <v>15000</v>
      </c>
      <c r="I161">
        <v>0</v>
      </c>
    </row>
    <row r="162" spans="1:9" x14ac:dyDescent="0.3">
      <c r="A162" s="2">
        <v>45982</v>
      </c>
      <c r="B162" s="1" t="s">
        <v>60</v>
      </c>
      <c r="C162" t="s">
        <v>14</v>
      </c>
      <c r="D162" t="s">
        <v>61</v>
      </c>
      <c r="E162" t="s">
        <v>8</v>
      </c>
      <c r="F162">
        <v>3965.39</v>
      </c>
      <c r="G162" t="s">
        <v>12</v>
      </c>
      <c r="H162">
        <v>15000</v>
      </c>
      <c r="I162">
        <v>0</v>
      </c>
    </row>
    <row r="163" spans="1:9" x14ac:dyDescent="0.3">
      <c r="A163" s="2">
        <v>45982</v>
      </c>
      <c r="B163" s="1" t="s">
        <v>66</v>
      </c>
      <c r="C163" t="s">
        <v>74</v>
      </c>
      <c r="D163" t="s">
        <v>75</v>
      </c>
      <c r="E163" t="s">
        <v>8</v>
      </c>
      <c r="F163">
        <v>3719.25</v>
      </c>
      <c r="G163" t="s">
        <v>12</v>
      </c>
      <c r="H163">
        <v>15000</v>
      </c>
      <c r="I163">
        <v>0</v>
      </c>
    </row>
    <row r="164" spans="1:9" x14ac:dyDescent="0.3">
      <c r="A164" s="2">
        <v>45986</v>
      </c>
      <c r="B164" s="1" t="s">
        <v>62</v>
      </c>
      <c r="C164" t="s">
        <v>13</v>
      </c>
      <c r="D164" t="s">
        <v>63</v>
      </c>
      <c r="E164" t="s">
        <v>8</v>
      </c>
      <c r="F164">
        <v>1430.16</v>
      </c>
      <c r="G164" t="s">
        <v>10</v>
      </c>
      <c r="H164">
        <v>15000</v>
      </c>
      <c r="I164">
        <v>0</v>
      </c>
    </row>
    <row r="165" spans="1:9" x14ac:dyDescent="0.3">
      <c r="A165" s="2">
        <v>45986</v>
      </c>
      <c r="B165" s="1" t="s">
        <v>64</v>
      </c>
      <c r="C165" t="s">
        <v>11</v>
      </c>
      <c r="D165" t="s">
        <v>65</v>
      </c>
      <c r="E165" t="s">
        <v>8</v>
      </c>
      <c r="F165">
        <v>1726.2</v>
      </c>
      <c r="G165" t="s">
        <v>10</v>
      </c>
      <c r="H165">
        <v>15000</v>
      </c>
      <c r="I165">
        <v>0</v>
      </c>
    </row>
    <row r="166" spans="1:9" x14ac:dyDescent="0.3">
      <c r="A166" s="2">
        <v>45986</v>
      </c>
      <c r="B166" s="1" t="s">
        <v>57</v>
      </c>
      <c r="C166" t="s">
        <v>58</v>
      </c>
      <c r="D166" t="s">
        <v>59</v>
      </c>
      <c r="E166" t="s">
        <v>8</v>
      </c>
      <c r="F166">
        <v>1045.1199999999999</v>
      </c>
      <c r="G166" t="s">
        <v>9</v>
      </c>
      <c r="H166">
        <v>15000</v>
      </c>
      <c r="I166">
        <v>0</v>
      </c>
    </row>
    <row r="167" spans="1:9" x14ac:dyDescent="0.3">
      <c r="A167" s="2">
        <v>45986</v>
      </c>
      <c r="B167" s="1" t="s">
        <v>62</v>
      </c>
      <c r="C167" t="s">
        <v>13</v>
      </c>
      <c r="D167" t="s">
        <v>63</v>
      </c>
      <c r="E167" t="s">
        <v>8</v>
      </c>
      <c r="F167">
        <v>1432.95</v>
      </c>
      <c r="G167" t="s">
        <v>9</v>
      </c>
      <c r="H167">
        <v>15000</v>
      </c>
      <c r="I167">
        <v>0</v>
      </c>
    </row>
    <row r="168" spans="1:9" x14ac:dyDescent="0.3">
      <c r="A168" s="2">
        <v>45986</v>
      </c>
      <c r="B168" s="1" t="s">
        <v>62</v>
      </c>
      <c r="C168" t="s">
        <v>13</v>
      </c>
      <c r="D168" t="s">
        <v>63</v>
      </c>
      <c r="E168" t="s">
        <v>8</v>
      </c>
      <c r="F168">
        <v>3140.7</v>
      </c>
      <c r="G168" t="s">
        <v>10</v>
      </c>
      <c r="H168">
        <v>15000</v>
      </c>
      <c r="I168">
        <v>0</v>
      </c>
    </row>
    <row r="169" spans="1:9" x14ac:dyDescent="0.3">
      <c r="A169" s="2">
        <v>45986</v>
      </c>
      <c r="B169" s="1" t="s">
        <v>62</v>
      </c>
      <c r="C169" t="s">
        <v>13</v>
      </c>
      <c r="D169" t="s">
        <v>63</v>
      </c>
      <c r="E169" t="s">
        <v>8</v>
      </c>
      <c r="F169">
        <v>869.4</v>
      </c>
      <c r="G169" t="s">
        <v>9</v>
      </c>
      <c r="H169">
        <v>15000</v>
      </c>
      <c r="I169">
        <v>0</v>
      </c>
    </row>
    <row r="170" spans="1:9" x14ac:dyDescent="0.3">
      <c r="A170" s="2">
        <v>46012</v>
      </c>
      <c r="B170" s="1" t="s">
        <v>64</v>
      </c>
      <c r="C170" t="s">
        <v>11</v>
      </c>
      <c r="D170" t="s">
        <v>65</v>
      </c>
      <c r="E170" t="s">
        <v>8</v>
      </c>
      <c r="F170">
        <v>3564.75</v>
      </c>
      <c r="G170" t="s">
        <v>12</v>
      </c>
      <c r="H170">
        <v>15000</v>
      </c>
      <c r="I170">
        <v>0</v>
      </c>
    </row>
    <row r="171" spans="1:9" x14ac:dyDescent="0.3">
      <c r="A171" s="2">
        <v>46012</v>
      </c>
      <c r="B171" s="1" t="s">
        <v>62</v>
      </c>
      <c r="C171" t="s">
        <v>13</v>
      </c>
      <c r="D171" t="s">
        <v>63</v>
      </c>
      <c r="E171" t="s">
        <v>8</v>
      </c>
      <c r="F171">
        <v>911.6</v>
      </c>
      <c r="G171" t="s">
        <v>9</v>
      </c>
      <c r="H171">
        <v>15000</v>
      </c>
      <c r="I171">
        <v>0</v>
      </c>
    </row>
    <row r="172" spans="1:9" x14ac:dyDescent="0.3">
      <c r="A172" s="2">
        <v>46012</v>
      </c>
      <c r="B172" s="1" t="s">
        <v>64</v>
      </c>
      <c r="C172" t="s">
        <v>11</v>
      </c>
      <c r="D172" t="s">
        <v>65</v>
      </c>
      <c r="E172" t="s">
        <v>8</v>
      </c>
      <c r="F172">
        <v>1011.03</v>
      </c>
      <c r="G172" t="s">
        <v>9</v>
      </c>
      <c r="H172">
        <v>15000</v>
      </c>
      <c r="I172">
        <v>0</v>
      </c>
    </row>
    <row r="173" spans="1:9" x14ac:dyDescent="0.3">
      <c r="A173" s="2">
        <v>46012</v>
      </c>
      <c r="B173" s="1" t="s">
        <v>60</v>
      </c>
      <c r="C173" t="s">
        <v>14</v>
      </c>
      <c r="D173" t="s">
        <v>61</v>
      </c>
      <c r="E173" t="s">
        <v>8</v>
      </c>
      <c r="F173">
        <v>2795.68</v>
      </c>
      <c r="G173" t="s">
        <v>10</v>
      </c>
      <c r="H173">
        <v>15000</v>
      </c>
      <c r="I173">
        <v>0</v>
      </c>
    </row>
    <row r="174" spans="1:9" x14ac:dyDescent="0.3">
      <c r="A174" s="2">
        <v>46012</v>
      </c>
      <c r="B174" s="1" t="s">
        <v>60</v>
      </c>
      <c r="C174" t="s">
        <v>14</v>
      </c>
      <c r="D174" t="s">
        <v>61</v>
      </c>
      <c r="E174" t="s">
        <v>8</v>
      </c>
      <c r="F174">
        <v>2767.09</v>
      </c>
      <c r="G174" t="s">
        <v>12</v>
      </c>
      <c r="H174">
        <v>15000</v>
      </c>
      <c r="I174">
        <v>0</v>
      </c>
    </row>
    <row r="175" spans="1:9" x14ac:dyDescent="0.3">
      <c r="A175" s="2">
        <v>46012</v>
      </c>
      <c r="B175" s="1" t="s">
        <v>64</v>
      </c>
      <c r="C175" t="s">
        <v>11</v>
      </c>
      <c r="D175" t="s">
        <v>65</v>
      </c>
      <c r="E175" t="s">
        <v>8</v>
      </c>
      <c r="F175">
        <v>798.27</v>
      </c>
      <c r="G175" t="s">
        <v>12</v>
      </c>
      <c r="H175">
        <v>15000</v>
      </c>
      <c r="I175">
        <v>0</v>
      </c>
    </row>
    <row r="176" spans="1:9" x14ac:dyDescent="0.3">
      <c r="A176" s="2">
        <v>46012</v>
      </c>
      <c r="B176" s="1" t="s">
        <v>60</v>
      </c>
      <c r="C176" t="s">
        <v>14</v>
      </c>
      <c r="D176" t="s">
        <v>61</v>
      </c>
      <c r="E176" t="s">
        <v>8</v>
      </c>
      <c r="F176">
        <v>2510.2399999999998</v>
      </c>
      <c r="G176" t="s">
        <v>10</v>
      </c>
      <c r="H176">
        <v>15000</v>
      </c>
      <c r="I176">
        <v>0</v>
      </c>
    </row>
    <row r="177" spans="1:9" x14ac:dyDescent="0.3">
      <c r="A177" s="2">
        <v>46012</v>
      </c>
      <c r="B177" s="1" t="s">
        <v>64</v>
      </c>
      <c r="C177" t="s">
        <v>11</v>
      </c>
      <c r="D177" t="s">
        <v>65</v>
      </c>
      <c r="E177" t="s">
        <v>8</v>
      </c>
      <c r="F177">
        <v>3690.72</v>
      </c>
      <c r="G177" t="s">
        <v>10</v>
      </c>
      <c r="H177">
        <v>15000</v>
      </c>
      <c r="I177">
        <v>0</v>
      </c>
    </row>
    <row r="178" spans="1:9" x14ac:dyDescent="0.3">
      <c r="A178" s="2">
        <v>46012</v>
      </c>
      <c r="B178" s="1" t="s">
        <v>66</v>
      </c>
      <c r="C178" t="s">
        <v>74</v>
      </c>
      <c r="D178" t="s">
        <v>67</v>
      </c>
      <c r="E178" t="s">
        <v>8</v>
      </c>
      <c r="F178">
        <v>670.89</v>
      </c>
      <c r="G178" t="s">
        <v>12</v>
      </c>
      <c r="H178">
        <v>15000</v>
      </c>
      <c r="I178">
        <v>0</v>
      </c>
    </row>
    <row r="179" spans="1:9" x14ac:dyDescent="0.3">
      <c r="A179" s="2">
        <v>46012</v>
      </c>
      <c r="B179" s="1" t="s">
        <v>62</v>
      </c>
      <c r="C179" t="s">
        <v>13</v>
      </c>
      <c r="D179" t="s">
        <v>63</v>
      </c>
      <c r="E179" t="s">
        <v>8</v>
      </c>
      <c r="F179">
        <v>2012.8</v>
      </c>
      <c r="G179" t="s">
        <v>12</v>
      </c>
      <c r="H179">
        <v>15000</v>
      </c>
      <c r="I179">
        <v>0</v>
      </c>
    </row>
    <row r="180" spans="1:9" x14ac:dyDescent="0.3">
      <c r="A180" s="2">
        <v>46012</v>
      </c>
      <c r="B180" s="1" t="s">
        <v>66</v>
      </c>
      <c r="C180" t="s">
        <v>74</v>
      </c>
      <c r="D180" t="s">
        <v>67</v>
      </c>
      <c r="E180" t="s">
        <v>8</v>
      </c>
      <c r="F180">
        <v>2116.8000000000002</v>
      </c>
      <c r="G180" t="s">
        <v>9</v>
      </c>
      <c r="H180">
        <v>15000</v>
      </c>
      <c r="I180">
        <v>0</v>
      </c>
    </row>
    <row r="181" spans="1:9" x14ac:dyDescent="0.3">
      <c r="A181" s="2">
        <v>46012</v>
      </c>
      <c r="B181" s="1" t="s">
        <v>57</v>
      </c>
      <c r="C181" t="s">
        <v>58</v>
      </c>
      <c r="D181" t="s">
        <v>59</v>
      </c>
      <c r="E181" t="s">
        <v>8</v>
      </c>
      <c r="F181">
        <v>1158.04</v>
      </c>
      <c r="G181" t="s">
        <v>10</v>
      </c>
      <c r="H181">
        <v>15000</v>
      </c>
      <c r="I181">
        <v>0</v>
      </c>
    </row>
    <row r="182" spans="1:9" x14ac:dyDescent="0.3">
      <c r="A182" s="2">
        <v>46012</v>
      </c>
      <c r="B182" s="1" t="s">
        <v>57</v>
      </c>
      <c r="C182" t="s">
        <v>58</v>
      </c>
      <c r="D182" t="s">
        <v>59</v>
      </c>
      <c r="E182" t="s">
        <v>8</v>
      </c>
      <c r="F182">
        <v>1680.64</v>
      </c>
      <c r="G182" t="s">
        <v>9</v>
      </c>
      <c r="H182">
        <v>15000</v>
      </c>
      <c r="I182">
        <v>0</v>
      </c>
    </row>
    <row r="183" spans="1:9" x14ac:dyDescent="0.3">
      <c r="A183" s="2">
        <v>46012</v>
      </c>
      <c r="B183" s="1" t="s">
        <v>64</v>
      </c>
      <c r="C183" t="s">
        <v>11</v>
      </c>
      <c r="D183" t="s">
        <v>65</v>
      </c>
      <c r="E183" t="s">
        <v>8</v>
      </c>
      <c r="F183">
        <v>690</v>
      </c>
      <c r="G183" t="s">
        <v>10</v>
      </c>
      <c r="H183">
        <v>15000</v>
      </c>
      <c r="I183">
        <v>0</v>
      </c>
    </row>
    <row r="184" spans="1:9" x14ac:dyDescent="0.3">
      <c r="A184" s="2">
        <v>46012</v>
      </c>
      <c r="B184" s="1" t="s">
        <v>62</v>
      </c>
      <c r="C184" t="s">
        <v>13</v>
      </c>
      <c r="D184" t="s">
        <v>63</v>
      </c>
      <c r="E184" t="s">
        <v>8</v>
      </c>
      <c r="F184">
        <v>1430.29</v>
      </c>
      <c r="G184" t="s">
        <v>9</v>
      </c>
      <c r="H184">
        <v>15000</v>
      </c>
      <c r="I184">
        <v>0</v>
      </c>
    </row>
    <row r="185" spans="1:9" x14ac:dyDescent="0.3">
      <c r="A185" s="2">
        <v>46012</v>
      </c>
      <c r="B185" s="1" t="s">
        <v>60</v>
      </c>
      <c r="C185" t="s">
        <v>14</v>
      </c>
      <c r="D185" t="s">
        <v>61</v>
      </c>
      <c r="E185" t="s">
        <v>8</v>
      </c>
      <c r="F185">
        <v>2079.7199999999998</v>
      </c>
      <c r="G185" t="s">
        <v>10</v>
      </c>
      <c r="H185">
        <v>15000</v>
      </c>
      <c r="I185">
        <v>0</v>
      </c>
    </row>
    <row r="186" spans="1:9" x14ac:dyDescent="0.3">
      <c r="A186" s="2">
        <v>46012</v>
      </c>
      <c r="B186" s="1" t="s">
        <v>66</v>
      </c>
      <c r="C186" t="s">
        <v>74</v>
      </c>
      <c r="D186" t="s">
        <v>67</v>
      </c>
      <c r="E186" t="s">
        <v>8</v>
      </c>
      <c r="F186">
        <v>2686.6</v>
      </c>
      <c r="G186" t="s">
        <v>12</v>
      </c>
      <c r="H186">
        <v>15000</v>
      </c>
      <c r="I186">
        <v>0</v>
      </c>
    </row>
    <row r="187" spans="1:9" x14ac:dyDescent="0.3">
      <c r="A187" s="2">
        <v>46012</v>
      </c>
      <c r="B187" s="1" t="s">
        <v>66</v>
      </c>
      <c r="C187" t="s">
        <v>74</v>
      </c>
      <c r="D187" t="s">
        <v>67</v>
      </c>
      <c r="E187" t="s">
        <v>8</v>
      </c>
      <c r="F187">
        <v>968.3</v>
      </c>
      <c r="G187" t="s">
        <v>12</v>
      </c>
      <c r="H187">
        <v>15000</v>
      </c>
      <c r="I187">
        <v>0</v>
      </c>
    </row>
    <row r="188" spans="1:9" x14ac:dyDescent="0.3">
      <c r="A188" s="2">
        <v>46012</v>
      </c>
      <c r="B188" s="1" t="s">
        <v>57</v>
      </c>
      <c r="C188" t="s">
        <v>58</v>
      </c>
      <c r="D188" t="s">
        <v>59</v>
      </c>
      <c r="E188" t="s">
        <v>8</v>
      </c>
      <c r="F188">
        <v>4142.07</v>
      </c>
      <c r="G188" t="s">
        <v>9</v>
      </c>
      <c r="H188">
        <v>15000</v>
      </c>
      <c r="I188">
        <v>0</v>
      </c>
    </row>
    <row r="189" spans="1:9" x14ac:dyDescent="0.3">
      <c r="A189" s="2">
        <v>46012</v>
      </c>
      <c r="B189" s="1" t="s">
        <v>60</v>
      </c>
      <c r="C189" t="s">
        <v>14</v>
      </c>
      <c r="D189" t="s">
        <v>61</v>
      </c>
      <c r="E189" t="s">
        <v>8</v>
      </c>
      <c r="F189">
        <v>1069.47</v>
      </c>
      <c r="G189" t="s">
        <v>12</v>
      </c>
      <c r="H189">
        <v>15000</v>
      </c>
      <c r="I189">
        <v>0</v>
      </c>
    </row>
    <row r="190" spans="1:9" x14ac:dyDescent="0.3">
      <c r="A190" s="2">
        <v>46012</v>
      </c>
      <c r="B190" s="1" t="s">
        <v>64</v>
      </c>
      <c r="C190" t="s">
        <v>11</v>
      </c>
      <c r="D190" t="s">
        <v>65</v>
      </c>
      <c r="E190" t="s">
        <v>8</v>
      </c>
      <c r="F190">
        <v>1059.52</v>
      </c>
      <c r="G190" t="s">
        <v>12</v>
      </c>
      <c r="H190">
        <v>15000</v>
      </c>
      <c r="I190">
        <v>0</v>
      </c>
    </row>
    <row r="191" spans="1:9" x14ac:dyDescent="0.3">
      <c r="A191" s="2">
        <v>46012</v>
      </c>
      <c r="B191" s="1" t="s">
        <v>64</v>
      </c>
      <c r="C191" t="s">
        <v>11</v>
      </c>
      <c r="D191" t="s">
        <v>65</v>
      </c>
      <c r="E191" t="s">
        <v>8</v>
      </c>
      <c r="F191">
        <v>1423.54</v>
      </c>
      <c r="G191" t="s">
        <v>12</v>
      </c>
      <c r="H191">
        <v>15000</v>
      </c>
      <c r="I191">
        <v>0</v>
      </c>
    </row>
    <row r="192" spans="1:9" x14ac:dyDescent="0.3">
      <c r="A192" s="2">
        <v>46012</v>
      </c>
      <c r="B192" s="1" t="s">
        <v>64</v>
      </c>
      <c r="C192" t="s">
        <v>11</v>
      </c>
      <c r="D192" t="s">
        <v>65</v>
      </c>
      <c r="E192" t="s">
        <v>8</v>
      </c>
      <c r="F192">
        <v>3653.02</v>
      </c>
      <c r="G192" t="s">
        <v>10</v>
      </c>
      <c r="H192">
        <v>15000</v>
      </c>
      <c r="I192">
        <v>0</v>
      </c>
    </row>
    <row r="193" spans="1:9" x14ac:dyDescent="0.3">
      <c r="A193" s="2">
        <v>46012</v>
      </c>
      <c r="B193" s="1" t="s">
        <v>60</v>
      </c>
      <c r="C193" t="s">
        <v>14</v>
      </c>
      <c r="D193" t="s">
        <v>61</v>
      </c>
      <c r="E193" t="s">
        <v>8</v>
      </c>
      <c r="F193">
        <v>719.6</v>
      </c>
      <c r="G193" t="s">
        <v>10</v>
      </c>
      <c r="H193">
        <v>15000</v>
      </c>
      <c r="I193">
        <v>0</v>
      </c>
    </row>
    <row r="194" spans="1:9" x14ac:dyDescent="0.3">
      <c r="A194" s="2">
        <v>46012</v>
      </c>
      <c r="B194" s="1" t="s">
        <v>57</v>
      </c>
      <c r="C194" t="s">
        <v>58</v>
      </c>
      <c r="D194" t="s">
        <v>59</v>
      </c>
      <c r="E194" t="s">
        <v>8</v>
      </c>
      <c r="F194">
        <v>299.72000000000003</v>
      </c>
      <c r="G194" t="s">
        <v>9</v>
      </c>
      <c r="H194">
        <v>15000</v>
      </c>
      <c r="I194">
        <v>0</v>
      </c>
    </row>
    <row r="195" spans="1:9" x14ac:dyDescent="0.3">
      <c r="A195" s="2">
        <v>46016</v>
      </c>
      <c r="B195" s="1" t="s">
        <v>66</v>
      </c>
      <c r="C195" t="s">
        <v>74</v>
      </c>
      <c r="D195" t="s">
        <v>67</v>
      </c>
      <c r="E195" t="s">
        <v>8</v>
      </c>
      <c r="F195">
        <v>3689.62</v>
      </c>
      <c r="G195" t="s">
        <v>12</v>
      </c>
      <c r="H195">
        <v>15000</v>
      </c>
      <c r="I195">
        <v>0</v>
      </c>
    </row>
    <row r="196" spans="1:9" x14ac:dyDescent="0.3">
      <c r="A196" s="2">
        <v>46016</v>
      </c>
      <c r="B196" s="1" t="s">
        <v>60</v>
      </c>
      <c r="C196" t="s">
        <v>14</v>
      </c>
      <c r="D196" t="s">
        <v>61</v>
      </c>
      <c r="E196" t="s">
        <v>8</v>
      </c>
      <c r="F196">
        <v>771.4</v>
      </c>
      <c r="G196" t="s">
        <v>9</v>
      </c>
      <c r="H196">
        <v>15000</v>
      </c>
      <c r="I196">
        <v>0</v>
      </c>
    </row>
    <row r="197" spans="1:9" x14ac:dyDescent="0.3">
      <c r="A197" s="2">
        <v>46016</v>
      </c>
      <c r="B197" s="1" t="s">
        <v>62</v>
      </c>
      <c r="C197" t="s">
        <v>13</v>
      </c>
      <c r="D197" t="s">
        <v>63</v>
      </c>
      <c r="E197" t="s">
        <v>8</v>
      </c>
      <c r="F197">
        <v>1636.39</v>
      </c>
      <c r="G197" t="s">
        <v>9</v>
      </c>
      <c r="H197">
        <v>15000</v>
      </c>
      <c r="I197">
        <v>0</v>
      </c>
    </row>
    <row r="198" spans="1:9" x14ac:dyDescent="0.3">
      <c r="A198" s="2">
        <v>46016</v>
      </c>
      <c r="B198" s="1" t="s">
        <v>57</v>
      </c>
      <c r="C198" t="s">
        <v>58</v>
      </c>
      <c r="D198" t="s">
        <v>59</v>
      </c>
      <c r="E198" t="s">
        <v>8</v>
      </c>
      <c r="F198">
        <v>1515.24</v>
      </c>
      <c r="G198" t="s">
        <v>12</v>
      </c>
      <c r="H198">
        <v>15000</v>
      </c>
      <c r="I198">
        <v>0</v>
      </c>
    </row>
  </sheetData>
  <mergeCells count="1">
    <mergeCell ref="A1:N1"/>
  </mergeCells>
  <conditionalFormatting sqref="F2">
    <cfRule type="top10" priority="4" rank="5"/>
  </conditionalFormatting>
  <conditionalFormatting sqref="F2:F1048576">
    <cfRule type="top10" priority="3" rank="5"/>
  </conditionalFormatting>
  <conditionalFormatting sqref="F3:F198">
    <cfRule type="top10" dxfId="0" priority="1" rank="5"/>
  </conditionalFormatting>
  <conditionalFormatting sqref="F4:F198">
    <cfRule type="top10" priority="2" rank="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1436-1855-4D48-A94A-E32690B7230C}">
  <dimension ref="A2:J490"/>
  <sheetViews>
    <sheetView workbookViewId="0">
      <selection activeCell="L6" sqref="L6"/>
    </sheetView>
  </sheetViews>
  <sheetFormatPr defaultRowHeight="14.4" x14ac:dyDescent="0.3"/>
  <cols>
    <col min="2" max="2" width="17.109375" customWidth="1"/>
    <col min="3" max="3" width="12.5546875" customWidth="1"/>
    <col min="4" max="4" width="11.6640625" customWidth="1"/>
    <col min="5" max="5" width="11.5546875" customWidth="1"/>
    <col min="6" max="6" width="15.6640625" customWidth="1"/>
    <col min="7" max="7" width="14.44140625" customWidth="1"/>
    <col min="8" max="8" width="9.21875" customWidth="1"/>
    <col min="9" max="9" width="13.21875" customWidth="1"/>
    <col min="10" max="10" width="13.109375" customWidth="1"/>
  </cols>
  <sheetData>
    <row r="2" spans="1:10" x14ac:dyDescent="0.3">
      <c r="A2" t="s">
        <v>0</v>
      </c>
      <c r="B2" t="s">
        <v>1</v>
      </c>
      <c r="C2" t="s">
        <v>2</v>
      </c>
      <c r="D2" t="s">
        <v>3</v>
      </c>
      <c r="E2" t="s">
        <v>4</v>
      </c>
      <c r="F2" t="s">
        <v>5</v>
      </c>
      <c r="G2" t="s">
        <v>6</v>
      </c>
      <c r="H2" t="s">
        <v>76</v>
      </c>
      <c r="I2" t="s">
        <v>77</v>
      </c>
      <c r="J2" t="s">
        <v>83</v>
      </c>
    </row>
    <row r="3" spans="1:10" x14ac:dyDescent="0.3">
      <c r="A3" s="2">
        <v>45678</v>
      </c>
      <c r="B3" s="1" t="s">
        <v>28</v>
      </c>
      <c r="C3" t="s">
        <v>29</v>
      </c>
      <c r="D3" t="s">
        <v>30</v>
      </c>
      <c r="E3" t="s">
        <v>31</v>
      </c>
      <c r="F3">
        <v>3035.1</v>
      </c>
      <c r="G3" t="s">
        <v>10</v>
      </c>
      <c r="H3">
        <v>15000</v>
      </c>
      <c r="I3">
        <f t="shared" ref="I3:I66" si="0">IF(F3&gt;=H3,0.1*F3,0)</f>
        <v>0</v>
      </c>
      <c r="J3" s="5">
        <f>(Sales_data[[#This Row],[Sales Amount]]-Sales_data[[#This Row],[TARGET]])</f>
        <v>-11964.9</v>
      </c>
    </row>
    <row r="4" spans="1:10" x14ac:dyDescent="0.3">
      <c r="A4" s="2">
        <v>45678</v>
      </c>
      <c r="B4" s="1" t="s">
        <v>32</v>
      </c>
      <c r="C4" t="s">
        <v>33</v>
      </c>
      <c r="D4" t="s">
        <v>34</v>
      </c>
      <c r="E4" t="s">
        <v>31</v>
      </c>
      <c r="F4">
        <v>3710</v>
      </c>
      <c r="G4" t="s">
        <v>12</v>
      </c>
      <c r="H4">
        <v>15000</v>
      </c>
      <c r="I4">
        <f t="shared" si="0"/>
        <v>0</v>
      </c>
      <c r="J4" s="5">
        <f>(Sales_data[[#This Row],[Sales Amount]]-Sales_data[[#This Row],[TARGET]])</f>
        <v>-11290</v>
      </c>
    </row>
    <row r="5" spans="1:10" x14ac:dyDescent="0.3">
      <c r="A5" s="2">
        <v>45678</v>
      </c>
      <c r="B5" s="1" t="s">
        <v>28</v>
      </c>
      <c r="C5" t="s">
        <v>29</v>
      </c>
      <c r="D5" t="s">
        <v>30</v>
      </c>
      <c r="E5" t="s">
        <v>31</v>
      </c>
      <c r="F5">
        <v>6201</v>
      </c>
      <c r="G5" t="s">
        <v>12</v>
      </c>
      <c r="H5">
        <v>15000</v>
      </c>
      <c r="I5">
        <f t="shared" si="0"/>
        <v>0</v>
      </c>
      <c r="J5" s="5">
        <f>(Sales_data[[#This Row],[Sales Amount]]-Sales_data[[#This Row],[TARGET]])</f>
        <v>-8799</v>
      </c>
    </row>
    <row r="6" spans="1:10" x14ac:dyDescent="0.3">
      <c r="A6" s="2">
        <v>45678</v>
      </c>
      <c r="B6" s="1" t="s">
        <v>35</v>
      </c>
      <c r="C6" t="s">
        <v>36</v>
      </c>
      <c r="D6" t="s">
        <v>37</v>
      </c>
      <c r="E6" t="s">
        <v>31</v>
      </c>
      <c r="F6">
        <v>6311.4</v>
      </c>
      <c r="G6" t="s">
        <v>12</v>
      </c>
      <c r="H6">
        <v>15000</v>
      </c>
      <c r="I6">
        <f t="shared" si="0"/>
        <v>0</v>
      </c>
      <c r="J6" s="5">
        <f>(Sales_data[[#This Row],[Sales Amount]]-Sales_data[[#This Row],[TARGET]])</f>
        <v>-8688.6</v>
      </c>
    </row>
    <row r="7" spans="1:10" x14ac:dyDescent="0.3">
      <c r="A7" s="2">
        <v>45678</v>
      </c>
      <c r="B7" s="1" t="s">
        <v>38</v>
      </c>
      <c r="C7" t="s">
        <v>39</v>
      </c>
      <c r="D7" t="s">
        <v>40</v>
      </c>
      <c r="E7" t="s">
        <v>31</v>
      </c>
      <c r="F7">
        <v>6600</v>
      </c>
      <c r="G7" t="s">
        <v>9</v>
      </c>
      <c r="H7">
        <v>15000</v>
      </c>
      <c r="I7">
        <f t="shared" si="0"/>
        <v>0</v>
      </c>
      <c r="J7" s="5">
        <f>(Sales_data[[#This Row],[Sales Amount]]-Sales_data[[#This Row],[TARGET]])</f>
        <v>-8400</v>
      </c>
    </row>
    <row r="8" spans="1:10" x14ac:dyDescent="0.3">
      <c r="A8" s="2">
        <v>45678</v>
      </c>
      <c r="B8" s="1" t="s">
        <v>38</v>
      </c>
      <c r="C8" t="s">
        <v>39</v>
      </c>
      <c r="D8" t="s">
        <v>40</v>
      </c>
      <c r="E8" t="s">
        <v>31</v>
      </c>
      <c r="F8">
        <v>6688</v>
      </c>
      <c r="G8" t="s">
        <v>10</v>
      </c>
      <c r="H8">
        <v>15000</v>
      </c>
      <c r="I8">
        <f t="shared" si="0"/>
        <v>0</v>
      </c>
      <c r="J8" s="5">
        <f>(Sales_data[[#This Row],[Sales Amount]]-Sales_data[[#This Row],[TARGET]])</f>
        <v>-8312</v>
      </c>
    </row>
    <row r="9" spans="1:10" x14ac:dyDescent="0.3">
      <c r="A9" s="2">
        <v>45678</v>
      </c>
      <c r="B9" s="1" t="s">
        <v>41</v>
      </c>
      <c r="C9" t="s">
        <v>42</v>
      </c>
      <c r="D9" t="s">
        <v>43</v>
      </c>
      <c r="E9" t="s">
        <v>44</v>
      </c>
      <c r="F9">
        <v>3008.4</v>
      </c>
      <c r="G9" t="s">
        <v>10</v>
      </c>
      <c r="H9">
        <v>15000</v>
      </c>
      <c r="I9">
        <f t="shared" si="0"/>
        <v>0</v>
      </c>
      <c r="J9" s="5">
        <f>(Sales_data[[#This Row],[Sales Amount]]-Sales_data[[#This Row],[TARGET]])</f>
        <v>-11991.6</v>
      </c>
    </row>
    <row r="10" spans="1:10" x14ac:dyDescent="0.3">
      <c r="A10" s="2">
        <v>45678</v>
      </c>
      <c r="B10" s="1" t="s">
        <v>45</v>
      </c>
      <c r="C10" t="s">
        <v>46</v>
      </c>
      <c r="D10" t="s">
        <v>47</v>
      </c>
      <c r="E10" t="s">
        <v>44</v>
      </c>
      <c r="F10">
        <v>3386.6</v>
      </c>
      <c r="G10" t="s">
        <v>10</v>
      </c>
      <c r="H10">
        <v>15000</v>
      </c>
      <c r="I10">
        <f t="shared" si="0"/>
        <v>0</v>
      </c>
      <c r="J10" s="5">
        <f>(Sales_data[[#This Row],[Sales Amount]]-Sales_data[[#This Row],[TARGET]])</f>
        <v>-11613.4</v>
      </c>
    </row>
    <row r="11" spans="1:10" x14ac:dyDescent="0.3">
      <c r="A11" s="2">
        <v>45678</v>
      </c>
      <c r="B11" s="1" t="s">
        <v>45</v>
      </c>
      <c r="C11" t="s">
        <v>46</v>
      </c>
      <c r="D11" t="s">
        <v>47</v>
      </c>
      <c r="E11" t="s">
        <v>44</v>
      </c>
      <c r="F11">
        <v>3596</v>
      </c>
      <c r="G11" t="s">
        <v>10</v>
      </c>
      <c r="H11">
        <v>15000</v>
      </c>
      <c r="I11">
        <f t="shared" si="0"/>
        <v>0</v>
      </c>
      <c r="J11" s="5">
        <f>(Sales_data[[#This Row],[Sales Amount]]-Sales_data[[#This Row],[TARGET]])</f>
        <v>-11404</v>
      </c>
    </row>
    <row r="12" spans="1:10" x14ac:dyDescent="0.3">
      <c r="A12" s="2">
        <v>45678</v>
      </c>
      <c r="B12" s="1" t="s">
        <v>48</v>
      </c>
      <c r="C12" t="s">
        <v>49</v>
      </c>
      <c r="D12" t="s">
        <v>50</v>
      </c>
      <c r="E12" t="s">
        <v>44</v>
      </c>
      <c r="F12">
        <v>4028</v>
      </c>
      <c r="G12" t="s">
        <v>9</v>
      </c>
      <c r="H12">
        <v>15000</v>
      </c>
      <c r="I12">
        <f t="shared" si="0"/>
        <v>0</v>
      </c>
      <c r="J12" s="5">
        <f>(Sales_data[[#This Row],[Sales Amount]]-Sales_data[[#This Row],[TARGET]])</f>
        <v>-10972</v>
      </c>
    </row>
    <row r="13" spans="1:10" x14ac:dyDescent="0.3">
      <c r="A13" s="2">
        <v>45678</v>
      </c>
      <c r="B13" s="1" t="s">
        <v>51</v>
      </c>
      <c r="C13" t="s">
        <v>52</v>
      </c>
      <c r="D13" t="s">
        <v>53</v>
      </c>
      <c r="E13" t="s">
        <v>44</v>
      </c>
      <c r="F13">
        <v>4201.6000000000004</v>
      </c>
      <c r="G13" t="s">
        <v>10</v>
      </c>
      <c r="H13">
        <v>15000</v>
      </c>
      <c r="I13">
        <f t="shared" si="0"/>
        <v>0</v>
      </c>
      <c r="J13" s="5">
        <f>(Sales_data[[#This Row],[Sales Amount]]-Sales_data[[#This Row],[TARGET]])</f>
        <v>-10798.4</v>
      </c>
    </row>
    <row r="14" spans="1:10" x14ac:dyDescent="0.3">
      <c r="A14" s="2">
        <v>45678</v>
      </c>
      <c r="B14" s="1" t="s">
        <v>41</v>
      </c>
      <c r="C14" t="s">
        <v>42</v>
      </c>
      <c r="D14" t="s">
        <v>43</v>
      </c>
      <c r="E14" t="s">
        <v>44</v>
      </c>
      <c r="F14">
        <v>5532.8</v>
      </c>
      <c r="G14" t="s">
        <v>10</v>
      </c>
      <c r="H14">
        <v>15000</v>
      </c>
      <c r="I14">
        <f t="shared" si="0"/>
        <v>0</v>
      </c>
      <c r="J14" s="5">
        <f>(Sales_data[[#This Row],[Sales Amount]]-Sales_data[[#This Row],[TARGET]])</f>
        <v>-9467.2000000000007</v>
      </c>
    </row>
    <row r="15" spans="1:10" x14ac:dyDescent="0.3">
      <c r="A15" s="2">
        <v>45678</v>
      </c>
      <c r="B15" s="1" t="s">
        <v>54</v>
      </c>
      <c r="C15" t="s">
        <v>55</v>
      </c>
      <c r="D15" t="s">
        <v>56</v>
      </c>
      <c r="E15" t="s">
        <v>44</v>
      </c>
      <c r="F15">
        <v>6300</v>
      </c>
      <c r="G15" t="s">
        <v>12</v>
      </c>
      <c r="H15">
        <v>15000</v>
      </c>
      <c r="I15">
        <f t="shared" si="0"/>
        <v>0</v>
      </c>
      <c r="J15" s="5">
        <f>(Sales_data[[#This Row],[Sales Amount]]-Sales_data[[#This Row],[TARGET]])</f>
        <v>-8700</v>
      </c>
    </row>
    <row r="16" spans="1:10" x14ac:dyDescent="0.3">
      <c r="A16" s="2">
        <v>45678</v>
      </c>
      <c r="B16" s="1" t="s">
        <v>15</v>
      </c>
      <c r="C16" t="s">
        <v>16</v>
      </c>
      <c r="D16" t="s">
        <v>17</v>
      </c>
      <c r="E16" t="s">
        <v>18</v>
      </c>
      <c r="F16">
        <v>2070.3000000000002</v>
      </c>
      <c r="G16" t="s">
        <v>9</v>
      </c>
      <c r="H16">
        <v>15000</v>
      </c>
      <c r="I16">
        <f t="shared" si="0"/>
        <v>0</v>
      </c>
      <c r="J16" s="5">
        <f>(Sales_data[[#This Row],[Sales Amount]]-Sales_data[[#This Row],[TARGET]])</f>
        <v>-12929.7</v>
      </c>
    </row>
    <row r="17" spans="1:10" x14ac:dyDescent="0.3">
      <c r="A17" s="2">
        <v>45678</v>
      </c>
      <c r="B17" s="1" t="s">
        <v>19</v>
      </c>
      <c r="C17" t="s">
        <v>20</v>
      </c>
      <c r="D17" t="s">
        <v>21</v>
      </c>
      <c r="E17" t="s">
        <v>18</v>
      </c>
      <c r="F17">
        <v>2311.5</v>
      </c>
      <c r="G17" t="s">
        <v>10</v>
      </c>
      <c r="H17">
        <v>15000</v>
      </c>
      <c r="I17">
        <f t="shared" si="0"/>
        <v>0</v>
      </c>
      <c r="J17" s="5">
        <f>(Sales_data[[#This Row],[Sales Amount]]-Sales_data[[#This Row],[TARGET]])</f>
        <v>-12688.5</v>
      </c>
    </row>
    <row r="18" spans="1:10" x14ac:dyDescent="0.3">
      <c r="A18" s="2">
        <v>45678</v>
      </c>
      <c r="B18" s="1" t="s">
        <v>22</v>
      </c>
      <c r="C18" t="s">
        <v>23</v>
      </c>
      <c r="D18" t="s">
        <v>24</v>
      </c>
      <c r="E18" t="s">
        <v>18</v>
      </c>
      <c r="F18">
        <v>2954.7</v>
      </c>
      <c r="G18" t="s">
        <v>10</v>
      </c>
      <c r="H18">
        <v>15000</v>
      </c>
      <c r="I18">
        <f t="shared" si="0"/>
        <v>0</v>
      </c>
      <c r="J18" s="5">
        <f>(Sales_data[[#This Row],[Sales Amount]]-Sales_data[[#This Row],[TARGET]])</f>
        <v>-12045.3</v>
      </c>
    </row>
    <row r="19" spans="1:10" x14ac:dyDescent="0.3">
      <c r="A19" s="2">
        <v>45678</v>
      </c>
      <c r="B19" s="1" t="s">
        <v>25</v>
      </c>
      <c r="C19" t="s">
        <v>26</v>
      </c>
      <c r="D19" t="s">
        <v>27</v>
      </c>
      <c r="E19" t="s">
        <v>18</v>
      </c>
      <c r="F19">
        <v>3013.5</v>
      </c>
      <c r="G19" t="s">
        <v>10</v>
      </c>
      <c r="H19">
        <v>15000</v>
      </c>
      <c r="I19">
        <f t="shared" si="0"/>
        <v>0</v>
      </c>
      <c r="J19" s="5">
        <f>(Sales_data[[#This Row],[Sales Amount]]-Sales_data[[#This Row],[TARGET]])</f>
        <v>-11986.5</v>
      </c>
    </row>
    <row r="20" spans="1:10" x14ac:dyDescent="0.3">
      <c r="A20" s="2">
        <v>45678</v>
      </c>
      <c r="B20" s="1" t="s">
        <v>22</v>
      </c>
      <c r="C20" t="s">
        <v>23</v>
      </c>
      <c r="D20" t="s">
        <v>24</v>
      </c>
      <c r="E20" t="s">
        <v>18</v>
      </c>
      <c r="F20">
        <v>3055.2</v>
      </c>
      <c r="G20" t="s">
        <v>9</v>
      </c>
      <c r="H20">
        <v>15000</v>
      </c>
      <c r="I20">
        <f t="shared" si="0"/>
        <v>0</v>
      </c>
      <c r="J20" s="5">
        <f>(Sales_data[[#This Row],[Sales Amount]]-Sales_data[[#This Row],[TARGET]])</f>
        <v>-11944.8</v>
      </c>
    </row>
    <row r="21" spans="1:10" x14ac:dyDescent="0.3">
      <c r="A21" s="2">
        <v>45678</v>
      </c>
      <c r="B21" s="1" t="s">
        <v>25</v>
      </c>
      <c r="C21" t="s">
        <v>26</v>
      </c>
      <c r="D21" t="s">
        <v>27</v>
      </c>
      <c r="E21" t="s">
        <v>18</v>
      </c>
      <c r="F21">
        <v>3243.6</v>
      </c>
      <c r="G21" t="s">
        <v>9</v>
      </c>
      <c r="H21">
        <v>15000</v>
      </c>
      <c r="I21">
        <f t="shared" si="0"/>
        <v>0</v>
      </c>
      <c r="J21" s="5">
        <f>(Sales_data[[#This Row],[Sales Amount]]-Sales_data[[#This Row],[TARGET]])</f>
        <v>-11756.4</v>
      </c>
    </row>
    <row r="22" spans="1:10" x14ac:dyDescent="0.3">
      <c r="A22" s="2">
        <v>45678</v>
      </c>
      <c r="B22" s="1" t="s">
        <v>19</v>
      </c>
      <c r="C22" t="s">
        <v>20</v>
      </c>
      <c r="D22" t="s">
        <v>21</v>
      </c>
      <c r="E22" t="s">
        <v>18</v>
      </c>
      <c r="F22">
        <v>3818</v>
      </c>
      <c r="G22" t="s">
        <v>9</v>
      </c>
      <c r="H22">
        <v>15000</v>
      </c>
      <c r="I22">
        <f t="shared" si="0"/>
        <v>0</v>
      </c>
      <c r="J22" s="5">
        <f>(Sales_data[[#This Row],[Sales Amount]]-Sales_data[[#This Row],[TARGET]])</f>
        <v>-11182</v>
      </c>
    </row>
    <row r="23" spans="1:10" x14ac:dyDescent="0.3">
      <c r="A23" s="2">
        <v>45678</v>
      </c>
      <c r="B23" s="1" t="s">
        <v>15</v>
      </c>
      <c r="C23" t="s">
        <v>16</v>
      </c>
      <c r="D23" t="s">
        <v>17</v>
      </c>
      <c r="E23" t="s">
        <v>18</v>
      </c>
      <c r="F23">
        <v>4843.3999999999996</v>
      </c>
      <c r="G23" t="s">
        <v>12</v>
      </c>
      <c r="H23">
        <v>15000</v>
      </c>
      <c r="I23">
        <f t="shared" si="0"/>
        <v>0</v>
      </c>
      <c r="J23" s="5">
        <f>(Sales_data[[#This Row],[Sales Amount]]-Sales_data[[#This Row],[TARGET]])</f>
        <v>-10156.6</v>
      </c>
    </row>
    <row r="24" spans="1:10" x14ac:dyDescent="0.3">
      <c r="A24" s="2">
        <v>45678</v>
      </c>
      <c r="B24" s="1" t="s">
        <v>19</v>
      </c>
      <c r="C24" t="s">
        <v>20</v>
      </c>
      <c r="D24" t="s">
        <v>21</v>
      </c>
      <c r="E24" t="s">
        <v>18</v>
      </c>
      <c r="F24">
        <v>5130</v>
      </c>
      <c r="G24" t="s">
        <v>10</v>
      </c>
      <c r="H24">
        <v>15000</v>
      </c>
      <c r="I24">
        <f t="shared" si="0"/>
        <v>0</v>
      </c>
      <c r="J24" s="5">
        <f>(Sales_data[[#This Row],[Sales Amount]]-Sales_data[[#This Row],[TARGET]])</f>
        <v>-9870</v>
      </c>
    </row>
    <row r="25" spans="1:10" x14ac:dyDescent="0.3">
      <c r="A25" s="2">
        <v>45678</v>
      </c>
      <c r="B25" s="1" t="s">
        <v>19</v>
      </c>
      <c r="C25" t="s">
        <v>20</v>
      </c>
      <c r="D25" t="s">
        <v>21</v>
      </c>
      <c r="E25" t="s">
        <v>18</v>
      </c>
      <c r="F25">
        <v>5215.2</v>
      </c>
      <c r="G25" t="s">
        <v>12</v>
      </c>
      <c r="H25">
        <v>15000</v>
      </c>
      <c r="I25">
        <f t="shared" si="0"/>
        <v>0</v>
      </c>
      <c r="J25" s="5">
        <f>(Sales_data[[#This Row],[Sales Amount]]-Sales_data[[#This Row],[TARGET]])</f>
        <v>-9784.7999999999993</v>
      </c>
    </row>
    <row r="26" spans="1:10" x14ac:dyDescent="0.3">
      <c r="A26" s="2">
        <v>45678</v>
      </c>
      <c r="B26" s="1" t="s">
        <v>25</v>
      </c>
      <c r="C26" t="s">
        <v>26</v>
      </c>
      <c r="D26" t="s">
        <v>27</v>
      </c>
      <c r="E26" t="s">
        <v>18</v>
      </c>
      <c r="F26">
        <v>5287.5</v>
      </c>
      <c r="G26" t="s">
        <v>10</v>
      </c>
      <c r="H26">
        <v>15000</v>
      </c>
      <c r="I26">
        <f t="shared" si="0"/>
        <v>0</v>
      </c>
      <c r="J26" s="5">
        <f>(Sales_data[[#This Row],[Sales Amount]]-Sales_data[[#This Row],[TARGET]])</f>
        <v>-9712.5</v>
      </c>
    </row>
    <row r="27" spans="1:10" x14ac:dyDescent="0.3">
      <c r="A27" s="2">
        <v>45678</v>
      </c>
      <c r="B27" s="1" t="s">
        <v>15</v>
      </c>
      <c r="C27" t="s">
        <v>16</v>
      </c>
      <c r="D27" t="s">
        <v>17</v>
      </c>
      <c r="E27" t="s">
        <v>18</v>
      </c>
      <c r="F27">
        <v>5572.3</v>
      </c>
      <c r="G27" t="s">
        <v>9</v>
      </c>
      <c r="H27">
        <v>15000</v>
      </c>
      <c r="I27">
        <f t="shared" si="0"/>
        <v>0</v>
      </c>
      <c r="J27" s="5">
        <f>(Sales_data[[#This Row],[Sales Amount]]-Sales_data[[#This Row],[TARGET]])</f>
        <v>-9427.7000000000007</v>
      </c>
    </row>
    <row r="28" spans="1:10" x14ac:dyDescent="0.3">
      <c r="A28" s="2">
        <v>45678</v>
      </c>
      <c r="B28" s="1" t="s">
        <v>66</v>
      </c>
      <c r="C28" t="s">
        <v>74</v>
      </c>
      <c r="D28" t="s">
        <v>67</v>
      </c>
      <c r="E28" t="s">
        <v>8</v>
      </c>
      <c r="F28">
        <v>900.48</v>
      </c>
      <c r="G28" t="s">
        <v>9</v>
      </c>
      <c r="H28">
        <v>15000</v>
      </c>
      <c r="I28">
        <f t="shared" si="0"/>
        <v>0</v>
      </c>
      <c r="J28" s="5">
        <f>(Sales_data[[#This Row],[Sales Amount]]-Sales_data[[#This Row],[TARGET]])</f>
        <v>-14099.52</v>
      </c>
    </row>
    <row r="29" spans="1:10" x14ac:dyDescent="0.3">
      <c r="A29" s="2">
        <v>45678</v>
      </c>
      <c r="B29" s="1" t="s">
        <v>66</v>
      </c>
      <c r="C29" t="s">
        <v>74</v>
      </c>
      <c r="D29" t="s">
        <v>67</v>
      </c>
      <c r="E29" t="s">
        <v>8</v>
      </c>
      <c r="F29">
        <v>4224.91</v>
      </c>
      <c r="G29" t="s">
        <v>10</v>
      </c>
      <c r="H29">
        <v>15000</v>
      </c>
      <c r="I29">
        <f t="shared" si="0"/>
        <v>0</v>
      </c>
      <c r="J29" s="5">
        <f>(Sales_data[[#This Row],[Sales Amount]]-Sales_data[[#This Row],[TARGET]])</f>
        <v>-10775.09</v>
      </c>
    </row>
    <row r="30" spans="1:10" x14ac:dyDescent="0.3">
      <c r="A30" s="2">
        <v>45678</v>
      </c>
      <c r="B30" s="1" t="s">
        <v>64</v>
      </c>
      <c r="C30" t="s">
        <v>11</v>
      </c>
      <c r="D30" t="s">
        <v>65</v>
      </c>
      <c r="E30" t="s">
        <v>8</v>
      </c>
      <c r="F30">
        <v>2399.7600000000002</v>
      </c>
      <c r="G30" t="s">
        <v>9</v>
      </c>
      <c r="H30">
        <v>15000</v>
      </c>
      <c r="I30">
        <f t="shared" si="0"/>
        <v>0</v>
      </c>
      <c r="J30" s="5">
        <f>(Sales_data[[#This Row],[Sales Amount]]-Sales_data[[#This Row],[TARGET]])</f>
        <v>-12600.24</v>
      </c>
    </row>
    <row r="31" spans="1:10" x14ac:dyDescent="0.3">
      <c r="A31" s="2">
        <v>45678</v>
      </c>
      <c r="B31" s="1" t="s">
        <v>66</v>
      </c>
      <c r="C31" t="s">
        <v>74</v>
      </c>
      <c r="D31" t="s">
        <v>67</v>
      </c>
      <c r="E31" t="s">
        <v>8</v>
      </c>
      <c r="F31">
        <v>2791.64</v>
      </c>
      <c r="G31" t="s">
        <v>12</v>
      </c>
      <c r="H31">
        <v>15000</v>
      </c>
      <c r="I31">
        <f t="shared" si="0"/>
        <v>0</v>
      </c>
      <c r="J31" s="5">
        <f>(Sales_data[[#This Row],[Sales Amount]]-Sales_data[[#This Row],[TARGET]])</f>
        <v>-12208.36</v>
      </c>
    </row>
    <row r="32" spans="1:10" x14ac:dyDescent="0.3">
      <c r="A32" s="2">
        <v>45678</v>
      </c>
      <c r="B32" s="1" t="s">
        <v>62</v>
      </c>
      <c r="C32" t="s">
        <v>13</v>
      </c>
      <c r="D32" t="s">
        <v>63</v>
      </c>
      <c r="E32" t="s">
        <v>8</v>
      </c>
      <c r="F32">
        <v>2071.7600000000002</v>
      </c>
      <c r="G32" t="s">
        <v>10</v>
      </c>
      <c r="H32">
        <v>15000</v>
      </c>
      <c r="I32">
        <f t="shared" si="0"/>
        <v>0</v>
      </c>
      <c r="J32" s="5">
        <f>(Sales_data[[#This Row],[Sales Amount]]-Sales_data[[#This Row],[TARGET]])</f>
        <v>-12928.24</v>
      </c>
    </row>
    <row r="33" spans="1:10" x14ac:dyDescent="0.3">
      <c r="A33" s="2">
        <v>45678</v>
      </c>
      <c r="B33" s="1" t="s">
        <v>64</v>
      </c>
      <c r="C33" t="s">
        <v>11</v>
      </c>
      <c r="D33" t="s">
        <v>65</v>
      </c>
      <c r="E33" t="s">
        <v>8</v>
      </c>
      <c r="F33">
        <v>1983.64</v>
      </c>
      <c r="G33" t="s">
        <v>9</v>
      </c>
      <c r="H33">
        <v>15000</v>
      </c>
      <c r="I33">
        <f t="shared" si="0"/>
        <v>0</v>
      </c>
      <c r="J33" s="5">
        <f>(Sales_data[[#This Row],[Sales Amount]]-Sales_data[[#This Row],[TARGET]])</f>
        <v>-13016.36</v>
      </c>
    </row>
    <row r="34" spans="1:10" x14ac:dyDescent="0.3">
      <c r="A34" s="2">
        <v>45678</v>
      </c>
      <c r="B34" s="1" t="s">
        <v>64</v>
      </c>
      <c r="C34" t="s">
        <v>11</v>
      </c>
      <c r="D34" t="s">
        <v>65</v>
      </c>
      <c r="E34" t="s">
        <v>8</v>
      </c>
      <c r="F34">
        <v>1961.75</v>
      </c>
      <c r="G34" t="s">
        <v>12</v>
      </c>
      <c r="H34">
        <v>15000</v>
      </c>
      <c r="I34">
        <f t="shared" si="0"/>
        <v>0</v>
      </c>
      <c r="J34" s="5">
        <f>(Sales_data[[#This Row],[Sales Amount]]-Sales_data[[#This Row],[TARGET]])</f>
        <v>-13038.25</v>
      </c>
    </row>
    <row r="35" spans="1:10" x14ac:dyDescent="0.3">
      <c r="A35" s="2">
        <v>45678</v>
      </c>
      <c r="B35" s="1" t="s">
        <v>64</v>
      </c>
      <c r="C35" t="s">
        <v>11</v>
      </c>
      <c r="D35" t="s">
        <v>65</v>
      </c>
      <c r="E35" t="s">
        <v>8</v>
      </c>
      <c r="F35">
        <v>1882.64</v>
      </c>
      <c r="G35" t="s">
        <v>12</v>
      </c>
      <c r="H35">
        <v>15000</v>
      </c>
      <c r="I35">
        <f t="shared" si="0"/>
        <v>0</v>
      </c>
      <c r="J35" s="5">
        <f>(Sales_data[[#This Row],[Sales Amount]]-Sales_data[[#This Row],[TARGET]])</f>
        <v>-13117.36</v>
      </c>
    </row>
    <row r="36" spans="1:10" x14ac:dyDescent="0.3">
      <c r="A36" s="2">
        <v>45678</v>
      </c>
      <c r="B36" s="1" t="s">
        <v>60</v>
      </c>
      <c r="C36" t="s">
        <v>14</v>
      </c>
      <c r="D36" t="s">
        <v>61</v>
      </c>
      <c r="E36" t="s">
        <v>8</v>
      </c>
      <c r="F36">
        <v>2336.4</v>
      </c>
      <c r="G36" t="s">
        <v>10</v>
      </c>
      <c r="H36">
        <v>15000</v>
      </c>
      <c r="I36">
        <f t="shared" si="0"/>
        <v>0</v>
      </c>
      <c r="J36" s="5">
        <f>(Sales_data[[#This Row],[Sales Amount]]-Sales_data[[#This Row],[TARGET]])</f>
        <v>-12663.6</v>
      </c>
    </row>
    <row r="37" spans="1:10" x14ac:dyDescent="0.3">
      <c r="A37" s="2">
        <v>45682</v>
      </c>
      <c r="B37" s="1" t="s">
        <v>45</v>
      </c>
      <c r="C37" t="s">
        <v>46</v>
      </c>
      <c r="D37" t="s">
        <v>47</v>
      </c>
      <c r="E37" t="s">
        <v>44</v>
      </c>
      <c r="F37">
        <v>6544.8</v>
      </c>
      <c r="G37" t="s">
        <v>9</v>
      </c>
      <c r="H37">
        <v>15000</v>
      </c>
      <c r="I37">
        <f t="shared" si="0"/>
        <v>0</v>
      </c>
      <c r="J37" s="5">
        <f>(Sales_data[[#This Row],[Sales Amount]]-Sales_data[[#This Row],[TARGET]])</f>
        <v>-8455.2000000000007</v>
      </c>
    </row>
    <row r="38" spans="1:10" x14ac:dyDescent="0.3">
      <c r="A38" s="2">
        <v>45682</v>
      </c>
      <c r="B38" s="1" t="s">
        <v>68</v>
      </c>
      <c r="C38" t="s">
        <v>69</v>
      </c>
      <c r="D38" t="s">
        <v>70</v>
      </c>
      <c r="E38" t="s">
        <v>18</v>
      </c>
      <c r="F38">
        <v>6796.8</v>
      </c>
      <c r="G38" t="s">
        <v>9</v>
      </c>
      <c r="H38">
        <v>15000</v>
      </c>
      <c r="I38">
        <f t="shared" si="0"/>
        <v>0</v>
      </c>
      <c r="J38" s="5">
        <f>(Sales_data[[#This Row],[Sales Amount]]-Sales_data[[#This Row],[TARGET]])</f>
        <v>-8203.2000000000007</v>
      </c>
    </row>
    <row r="39" spans="1:10" x14ac:dyDescent="0.3">
      <c r="A39" s="2">
        <v>45682</v>
      </c>
      <c r="B39" s="1" t="s">
        <v>68</v>
      </c>
      <c r="C39" t="s">
        <v>69</v>
      </c>
      <c r="D39" t="s">
        <v>70</v>
      </c>
      <c r="E39" t="s">
        <v>18</v>
      </c>
      <c r="F39">
        <v>7029.9</v>
      </c>
      <c r="G39" t="s">
        <v>12</v>
      </c>
      <c r="H39">
        <v>15000</v>
      </c>
      <c r="I39">
        <f t="shared" si="0"/>
        <v>0</v>
      </c>
      <c r="J39" s="5">
        <f>(Sales_data[[#This Row],[Sales Amount]]-Sales_data[[#This Row],[TARGET]])</f>
        <v>-7970.1</v>
      </c>
    </row>
    <row r="40" spans="1:10" x14ac:dyDescent="0.3">
      <c r="A40" s="2">
        <v>45682</v>
      </c>
      <c r="B40" s="1" t="s">
        <v>22</v>
      </c>
      <c r="C40" t="s">
        <v>23</v>
      </c>
      <c r="D40" t="s">
        <v>24</v>
      </c>
      <c r="E40" t="s">
        <v>18</v>
      </c>
      <c r="F40">
        <v>7199.7</v>
      </c>
      <c r="G40" t="s">
        <v>12</v>
      </c>
      <c r="H40">
        <v>15000</v>
      </c>
      <c r="I40">
        <f t="shared" si="0"/>
        <v>0</v>
      </c>
      <c r="J40" s="5">
        <f>(Sales_data[[#This Row],[Sales Amount]]-Sales_data[[#This Row],[TARGET]])</f>
        <v>-7800.3</v>
      </c>
    </row>
    <row r="41" spans="1:10" x14ac:dyDescent="0.3">
      <c r="A41" s="2">
        <v>45682</v>
      </c>
      <c r="B41" s="1" t="s">
        <v>22</v>
      </c>
      <c r="C41" t="s">
        <v>23</v>
      </c>
      <c r="D41" t="s">
        <v>24</v>
      </c>
      <c r="E41" t="s">
        <v>18</v>
      </c>
      <c r="F41">
        <v>7497</v>
      </c>
      <c r="G41" t="s">
        <v>10</v>
      </c>
      <c r="H41">
        <v>15000</v>
      </c>
      <c r="I41">
        <f t="shared" si="0"/>
        <v>0</v>
      </c>
      <c r="J41" s="5">
        <f>(Sales_data[[#This Row],[Sales Amount]]-Sales_data[[#This Row],[TARGET]])</f>
        <v>-7503</v>
      </c>
    </row>
    <row r="42" spans="1:10" x14ac:dyDescent="0.3">
      <c r="A42" s="2">
        <v>45682</v>
      </c>
      <c r="B42" s="1" t="s">
        <v>57</v>
      </c>
      <c r="C42" t="s">
        <v>58</v>
      </c>
      <c r="D42" t="s">
        <v>59</v>
      </c>
      <c r="E42" t="s">
        <v>8</v>
      </c>
      <c r="F42">
        <v>2997.2</v>
      </c>
      <c r="G42" t="s">
        <v>9</v>
      </c>
      <c r="H42">
        <v>15000</v>
      </c>
      <c r="I42">
        <f t="shared" si="0"/>
        <v>0</v>
      </c>
      <c r="J42" s="5">
        <f>(Sales_data[[#This Row],[Sales Amount]]-Sales_data[[#This Row],[TARGET]])</f>
        <v>-12002.8</v>
      </c>
    </row>
    <row r="43" spans="1:10" x14ac:dyDescent="0.3">
      <c r="A43" s="2">
        <v>45682</v>
      </c>
      <c r="B43" s="1" t="s">
        <v>60</v>
      </c>
      <c r="C43" t="s">
        <v>14</v>
      </c>
      <c r="D43" t="s">
        <v>61</v>
      </c>
      <c r="E43" t="s">
        <v>8</v>
      </c>
      <c r="F43">
        <v>3465</v>
      </c>
      <c r="G43" t="s">
        <v>10</v>
      </c>
      <c r="H43">
        <v>15000</v>
      </c>
      <c r="I43">
        <f t="shared" si="0"/>
        <v>0</v>
      </c>
      <c r="J43" s="5">
        <f>(Sales_data[[#This Row],[Sales Amount]]-Sales_data[[#This Row],[TARGET]])</f>
        <v>-11535</v>
      </c>
    </row>
    <row r="44" spans="1:10" x14ac:dyDescent="0.3">
      <c r="A44" s="2">
        <v>45682</v>
      </c>
      <c r="B44" s="1" t="s">
        <v>62</v>
      </c>
      <c r="C44" t="s">
        <v>13</v>
      </c>
      <c r="D44" t="s">
        <v>63</v>
      </c>
      <c r="E44" t="s">
        <v>8</v>
      </c>
      <c r="F44">
        <v>3760.5</v>
      </c>
      <c r="G44" t="s">
        <v>9</v>
      </c>
      <c r="H44">
        <v>15000</v>
      </c>
      <c r="I44">
        <f t="shared" si="0"/>
        <v>0</v>
      </c>
      <c r="J44" s="5">
        <f>(Sales_data[[#This Row],[Sales Amount]]-Sales_data[[#This Row],[TARGET]])</f>
        <v>-11239.5</v>
      </c>
    </row>
    <row r="45" spans="1:10" x14ac:dyDescent="0.3">
      <c r="A45" s="2">
        <v>45682</v>
      </c>
      <c r="B45" s="1" t="s">
        <v>62</v>
      </c>
      <c r="C45" t="s">
        <v>13</v>
      </c>
      <c r="D45" t="s">
        <v>63</v>
      </c>
      <c r="E45" t="s">
        <v>8</v>
      </c>
      <c r="F45">
        <v>4322.8</v>
      </c>
      <c r="G45" t="s">
        <v>12</v>
      </c>
      <c r="H45">
        <v>15000</v>
      </c>
      <c r="I45">
        <f t="shared" si="0"/>
        <v>0</v>
      </c>
      <c r="J45" s="5">
        <f>(Sales_data[[#This Row],[Sales Amount]]-Sales_data[[#This Row],[TARGET]])</f>
        <v>-10677.2</v>
      </c>
    </row>
    <row r="46" spans="1:10" x14ac:dyDescent="0.3">
      <c r="A46" s="2">
        <v>45682</v>
      </c>
      <c r="B46" s="1" t="s">
        <v>57</v>
      </c>
      <c r="C46" t="s">
        <v>58</v>
      </c>
      <c r="D46" t="s">
        <v>59</v>
      </c>
      <c r="E46" t="s">
        <v>8</v>
      </c>
      <c r="F46">
        <v>4531</v>
      </c>
      <c r="G46" t="s">
        <v>12</v>
      </c>
      <c r="H46">
        <v>15000</v>
      </c>
      <c r="I46">
        <f t="shared" si="0"/>
        <v>0</v>
      </c>
      <c r="J46" s="5">
        <f>(Sales_data[[#This Row],[Sales Amount]]-Sales_data[[#This Row],[TARGET]])</f>
        <v>-10469</v>
      </c>
    </row>
    <row r="47" spans="1:10" x14ac:dyDescent="0.3">
      <c r="A47" s="2">
        <v>45682</v>
      </c>
      <c r="B47" s="1" t="s">
        <v>64</v>
      </c>
      <c r="C47" t="s">
        <v>11</v>
      </c>
      <c r="D47" t="s">
        <v>65</v>
      </c>
      <c r="E47" t="s">
        <v>8</v>
      </c>
      <c r="F47">
        <v>5332.8</v>
      </c>
      <c r="G47" t="s">
        <v>10</v>
      </c>
      <c r="H47">
        <v>15000</v>
      </c>
      <c r="I47">
        <f t="shared" si="0"/>
        <v>0</v>
      </c>
      <c r="J47" s="5">
        <f>(Sales_data[[#This Row],[Sales Amount]]-Sales_data[[#This Row],[TARGET]])</f>
        <v>-9667.2000000000007</v>
      </c>
    </row>
    <row r="48" spans="1:10" x14ac:dyDescent="0.3">
      <c r="A48" s="2">
        <v>45682</v>
      </c>
      <c r="B48" s="1" t="s">
        <v>64</v>
      </c>
      <c r="C48" t="s">
        <v>11</v>
      </c>
      <c r="D48" t="s">
        <v>65</v>
      </c>
      <c r="E48" t="s">
        <v>8</v>
      </c>
      <c r="F48">
        <v>5696.4</v>
      </c>
      <c r="G48" t="s">
        <v>9</v>
      </c>
      <c r="H48">
        <v>15000</v>
      </c>
      <c r="I48">
        <f t="shared" si="0"/>
        <v>0</v>
      </c>
      <c r="J48" s="5">
        <f>(Sales_data[[#This Row],[Sales Amount]]-Sales_data[[#This Row],[TARGET]])</f>
        <v>-9303.6</v>
      </c>
    </row>
    <row r="49" spans="1:10" x14ac:dyDescent="0.3">
      <c r="A49" s="2">
        <v>45682</v>
      </c>
      <c r="B49" s="1" t="s">
        <v>66</v>
      </c>
      <c r="C49" t="s">
        <v>7</v>
      </c>
      <c r="D49" t="s">
        <v>67</v>
      </c>
      <c r="E49" t="s">
        <v>8</v>
      </c>
      <c r="F49">
        <v>6708.9</v>
      </c>
      <c r="G49" t="s">
        <v>12</v>
      </c>
      <c r="H49">
        <v>15000</v>
      </c>
      <c r="I49">
        <f t="shared" si="0"/>
        <v>0</v>
      </c>
      <c r="J49" s="5">
        <f>(Sales_data[[#This Row],[Sales Amount]]-Sales_data[[#This Row],[TARGET]])</f>
        <v>-8291.1</v>
      </c>
    </row>
    <row r="50" spans="1:10" x14ac:dyDescent="0.3">
      <c r="A50" s="2">
        <v>45709</v>
      </c>
      <c r="B50" s="1" t="s">
        <v>28</v>
      </c>
      <c r="C50" t="s">
        <v>29</v>
      </c>
      <c r="D50" t="s">
        <v>30</v>
      </c>
      <c r="E50" t="s">
        <v>31</v>
      </c>
      <c r="F50">
        <v>7024.2</v>
      </c>
      <c r="G50" t="s">
        <v>12</v>
      </c>
      <c r="H50">
        <v>15000</v>
      </c>
      <c r="I50">
        <f t="shared" si="0"/>
        <v>0</v>
      </c>
      <c r="J50" s="5">
        <f>(Sales_data[[#This Row],[Sales Amount]]-Sales_data[[#This Row],[TARGET]])</f>
        <v>-7975.8</v>
      </c>
    </row>
    <row r="51" spans="1:10" x14ac:dyDescent="0.3">
      <c r="A51" s="2">
        <v>45709</v>
      </c>
      <c r="B51" s="1" t="s">
        <v>38</v>
      </c>
      <c r="C51" t="s">
        <v>39</v>
      </c>
      <c r="D51" t="s">
        <v>40</v>
      </c>
      <c r="E51" t="s">
        <v>31</v>
      </c>
      <c r="F51">
        <v>7139</v>
      </c>
      <c r="G51" t="s">
        <v>9</v>
      </c>
      <c r="H51">
        <v>15000</v>
      </c>
      <c r="I51">
        <f t="shared" si="0"/>
        <v>0</v>
      </c>
      <c r="J51" s="5">
        <f>(Sales_data[[#This Row],[Sales Amount]]-Sales_data[[#This Row],[TARGET]])</f>
        <v>-7861</v>
      </c>
    </row>
    <row r="52" spans="1:10" x14ac:dyDescent="0.3">
      <c r="A52" s="2">
        <v>45709</v>
      </c>
      <c r="B52" s="1" t="s">
        <v>32</v>
      </c>
      <c r="C52" t="s">
        <v>33</v>
      </c>
      <c r="D52" t="s">
        <v>34</v>
      </c>
      <c r="E52" t="s">
        <v>31</v>
      </c>
      <c r="F52">
        <v>7289.6</v>
      </c>
      <c r="G52" t="s">
        <v>9</v>
      </c>
      <c r="H52">
        <v>15000</v>
      </c>
      <c r="I52">
        <f t="shared" si="0"/>
        <v>0</v>
      </c>
      <c r="J52" s="5">
        <f>(Sales_data[[#This Row],[Sales Amount]]-Sales_data[[#This Row],[TARGET]])</f>
        <v>-7710.4</v>
      </c>
    </row>
    <row r="53" spans="1:10" x14ac:dyDescent="0.3">
      <c r="A53" s="2">
        <v>45709</v>
      </c>
      <c r="B53" s="1" t="s">
        <v>38</v>
      </c>
      <c r="C53" t="s">
        <v>39</v>
      </c>
      <c r="D53" t="s">
        <v>40</v>
      </c>
      <c r="E53" t="s">
        <v>31</v>
      </c>
      <c r="F53">
        <v>7416.9</v>
      </c>
      <c r="G53" t="s">
        <v>12</v>
      </c>
      <c r="H53">
        <v>15000</v>
      </c>
      <c r="I53">
        <f t="shared" si="0"/>
        <v>0</v>
      </c>
      <c r="J53" s="5">
        <f>(Sales_data[[#This Row],[Sales Amount]]-Sales_data[[#This Row],[TARGET]])</f>
        <v>-7583.1</v>
      </c>
    </row>
    <row r="54" spans="1:10" x14ac:dyDescent="0.3">
      <c r="A54" s="2">
        <v>45709</v>
      </c>
      <c r="B54" s="1" t="s">
        <v>32</v>
      </c>
      <c r="C54" t="s">
        <v>33</v>
      </c>
      <c r="D54" t="s">
        <v>34</v>
      </c>
      <c r="E54" t="s">
        <v>31</v>
      </c>
      <c r="F54">
        <v>7582</v>
      </c>
      <c r="G54" t="s">
        <v>9</v>
      </c>
      <c r="H54">
        <v>15000</v>
      </c>
      <c r="I54">
        <f t="shared" si="0"/>
        <v>0</v>
      </c>
      <c r="J54" s="5">
        <f>(Sales_data[[#This Row],[Sales Amount]]-Sales_data[[#This Row],[TARGET]])</f>
        <v>-7418</v>
      </c>
    </row>
    <row r="55" spans="1:10" x14ac:dyDescent="0.3">
      <c r="A55" s="2">
        <v>45709</v>
      </c>
      <c r="B55" s="1" t="s">
        <v>35</v>
      </c>
      <c r="C55" t="s">
        <v>36</v>
      </c>
      <c r="D55" t="s">
        <v>37</v>
      </c>
      <c r="E55" t="s">
        <v>31</v>
      </c>
      <c r="F55">
        <v>7721.6</v>
      </c>
      <c r="G55" t="s">
        <v>9</v>
      </c>
      <c r="H55">
        <v>15000</v>
      </c>
      <c r="I55">
        <f t="shared" si="0"/>
        <v>0</v>
      </c>
      <c r="J55" s="5">
        <f>(Sales_data[[#This Row],[Sales Amount]]-Sales_data[[#This Row],[TARGET]])</f>
        <v>-7278.4</v>
      </c>
    </row>
    <row r="56" spans="1:10" x14ac:dyDescent="0.3">
      <c r="A56" s="2">
        <v>45709</v>
      </c>
      <c r="B56" s="1" t="s">
        <v>45</v>
      </c>
      <c r="C56" t="s">
        <v>46</v>
      </c>
      <c r="D56" t="s">
        <v>47</v>
      </c>
      <c r="E56" t="s">
        <v>44</v>
      </c>
      <c r="F56">
        <v>6804</v>
      </c>
      <c r="G56" t="s">
        <v>9</v>
      </c>
      <c r="H56">
        <v>15000</v>
      </c>
      <c r="I56">
        <f t="shared" si="0"/>
        <v>0</v>
      </c>
      <c r="J56" s="5">
        <f>(Sales_data[[#This Row],[Sales Amount]]-Sales_data[[#This Row],[TARGET]])</f>
        <v>-8196</v>
      </c>
    </row>
    <row r="57" spans="1:10" x14ac:dyDescent="0.3">
      <c r="A57" s="2">
        <v>45709</v>
      </c>
      <c r="B57" s="1" t="s">
        <v>48</v>
      </c>
      <c r="C57" t="s">
        <v>49</v>
      </c>
      <c r="D57" t="s">
        <v>50</v>
      </c>
      <c r="E57" t="s">
        <v>44</v>
      </c>
      <c r="F57">
        <v>6872.8</v>
      </c>
      <c r="G57" t="s">
        <v>9</v>
      </c>
      <c r="H57">
        <v>15000</v>
      </c>
      <c r="I57">
        <f t="shared" si="0"/>
        <v>0</v>
      </c>
      <c r="J57" s="5">
        <f>(Sales_data[[#This Row],[Sales Amount]]-Sales_data[[#This Row],[TARGET]])</f>
        <v>-8127.2</v>
      </c>
    </row>
    <row r="58" spans="1:10" x14ac:dyDescent="0.3">
      <c r="A58" s="2">
        <v>45709</v>
      </c>
      <c r="B58" s="1" t="s">
        <v>54</v>
      </c>
      <c r="C58" t="s">
        <v>55</v>
      </c>
      <c r="D58" t="s">
        <v>56</v>
      </c>
      <c r="E58" t="s">
        <v>44</v>
      </c>
      <c r="F58">
        <v>6960</v>
      </c>
      <c r="G58" t="s">
        <v>12</v>
      </c>
      <c r="H58">
        <v>15000</v>
      </c>
      <c r="I58">
        <f t="shared" si="0"/>
        <v>0</v>
      </c>
      <c r="J58" s="5">
        <f>(Sales_data[[#This Row],[Sales Amount]]-Sales_data[[#This Row],[TARGET]])</f>
        <v>-8040</v>
      </c>
    </row>
    <row r="59" spans="1:10" x14ac:dyDescent="0.3">
      <c r="A59" s="2">
        <v>45709</v>
      </c>
      <c r="B59" s="1" t="s">
        <v>48</v>
      </c>
      <c r="C59" t="s">
        <v>49</v>
      </c>
      <c r="D59" t="s">
        <v>50</v>
      </c>
      <c r="E59" t="s">
        <v>44</v>
      </c>
      <c r="F59">
        <v>7008</v>
      </c>
      <c r="G59" t="s">
        <v>12</v>
      </c>
      <c r="H59">
        <v>15000</v>
      </c>
      <c r="I59">
        <f t="shared" si="0"/>
        <v>0</v>
      </c>
      <c r="J59" s="5">
        <f>(Sales_data[[#This Row],[Sales Amount]]-Sales_data[[#This Row],[TARGET]])</f>
        <v>-7992</v>
      </c>
    </row>
    <row r="60" spans="1:10" x14ac:dyDescent="0.3">
      <c r="A60" s="2">
        <v>45709</v>
      </c>
      <c r="B60" s="1" t="s">
        <v>51</v>
      </c>
      <c r="C60" t="s">
        <v>52</v>
      </c>
      <c r="D60" t="s">
        <v>53</v>
      </c>
      <c r="E60" t="s">
        <v>44</v>
      </c>
      <c r="F60">
        <v>7221.6</v>
      </c>
      <c r="G60" t="s">
        <v>12</v>
      </c>
      <c r="H60">
        <v>15000</v>
      </c>
      <c r="I60">
        <f t="shared" si="0"/>
        <v>0</v>
      </c>
      <c r="J60" s="5">
        <f>(Sales_data[[#This Row],[Sales Amount]]-Sales_data[[#This Row],[TARGET]])</f>
        <v>-7778.4</v>
      </c>
    </row>
    <row r="61" spans="1:10" x14ac:dyDescent="0.3">
      <c r="A61" s="2">
        <v>45709</v>
      </c>
      <c r="B61" s="1" t="s">
        <v>25</v>
      </c>
      <c r="C61" t="s">
        <v>26</v>
      </c>
      <c r="D61" t="s">
        <v>27</v>
      </c>
      <c r="E61" t="s">
        <v>18</v>
      </c>
      <c r="F61">
        <v>7717.5</v>
      </c>
      <c r="G61" t="s">
        <v>12</v>
      </c>
      <c r="H61">
        <v>15000</v>
      </c>
      <c r="I61">
        <f t="shared" si="0"/>
        <v>0</v>
      </c>
      <c r="J61" s="5">
        <f>(Sales_data[[#This Row],[Sales Amount]]-Sales_data[[#This Row],[TARGET]])</f>
        <v>-7282.5</v>
      </c>
    </row>
    <row r="62" spans="1:10" x14ac:dyDescent="0.3">
      <c r="A62" s="2">
        <v>45709</v>
      </c>
      <c r="B62" s="1" t="s">
        <v>68</v>
      </c>
      <c r="C62" t="s">
        <v>69</v>
      </c>
      <c r="D62" t="s">
        <v>70</v>
      </c>
      <c r="E62" t="s">
        <v>18</v>
      </c>
      <c r="F62">
        <v>8188</v>
      </c>
      <c r="G62" t="s">
        <v>12</v>
      </c>
      <c r="H62">
        <v>15000</v>
      </c>
      <c r="I62">
        <f t="shared" si="0"/>
        <v>0</v>
      </c>
      <c r="J62" s="5">
        <f>(Sales_data[[#This Row],[Sales Amount]]-Sales_data[[#This Row],[TARGET]])</f>
        <v>-6812</v>
      </c>
    </row>
    <row r="63" spans="1:10" x14ac:dyDescent="0.3">
      <c r="A63" s="2">
        <v>45709</v>
      </c>
      <c r="B63" s="1" t="s">
        <v>68</v>
      </c>
      <c r="C63" t="s">
        <v>69</v>
      </c>
      <c r="D63" t="s">
        <v>70</v>
      </c>
      <c r="E63" t="s">
        <v>18</v>
      </c>
      <c r="F63">
        <v>8625</v>
      </c>
      <c r="G63" t="s">
        <v>10</v>
      </c>
      <c r="H63">
        <v>15000</v>
      </c>
      <c r="I63">
        <f t="shared" si="0"/>
        <v>0</v>
      </c>
      <c r="J63" s="5">
        <f>(Sales_data[[#This Row],[Sales Amount]]-Sales_data[[#This Row],[TARGET]])</f>
        <v>-6375</v>
      </c>
    </row>
    <row r="64" spans="1:10" x14ac:dyDescent="0.3">
      <c r="A64" s="2">
        <v>45709</v>
      </c>
      <c r="B64" s="1" t="s">
        <v>22</v>
      </c>
      <c r="C64" t="s">
        <v>23</v>
      </c>
      <c r="D64" t="s">
        <v>24</v>
      </c>
      <c r="E64" t="s">
        <v>18</v>
      </c>
      <c r="F64">
        <v>8683.2000000000007</v>
      </c>
      <c r="G64" t="s">
        <v>10</v>
      </c>
      <c r="H64">
        <v>15000</v>
      </c>
      <c r="I64">
        <f t="shared" si="0"/>
        <v>0</v>
      </c>
      <c r="J64" s="5">
        <f>(Sales_data[[#This Row],[Sales Amount]]-Sales_data[[#This Row],[TARGET]])</f>
        <v>-6316.7999999999993</v>
      </c>
    </row>
    <row r="65" spans="1:10" x14ac:dyDescent="0.3">
      <c r="A65" s="2">
        <v>45709</v>
      </c>
      <c r="B65" s="1" t="s">
        <v>19</v>
      </c>
      <c r="C65" t="s">
        <v>20</v>
      </c>
      <c r="D65" t="s">
        <v>21</v>
      </c>
      <c r="E65" t="s">
        <v>18</v>
      </c>
      <c r="F65">
        <v>8686.6</v>
      </c>
      <c r="G65" t="s">
        <v>10</v>
      </c>
      <c r="H65">
        <v>15000</v>
      </c>
      <c r="I65">
        <f t="shared" si="0"/>
        <v>0</v>
      </c>
      <c r="J65" s="5">
        <f>(Sales_data[[#This Row],[Sales Amount]]-Sales_data[[#This Row],[TARGET]])</f>
        <v>-6313.4</v>
      </c>
    </row>
    <row r="66" spans="1:10" x14ac:dyDescent="0.3">
      <c r="A66" s="2">
        <v>45709</v>
      </c>
      <c r="B66" s="1" t="s">
        <v>60</v>
      </c>
      <c r="C66" t="s">
        <v>14</v>
      </c>
      <c r="D66" t="s">
        <v>61</v>
      </c>
      <c r="E66" t="s">
        <v>8</v>
      </c>
      <c r="F66">
        <v>6751.8</v>
      </c>
      <c r="G66" t="s">
        <v>10</v>
      </c>
      <c r="H66">
        <v>15000</v>
      </c>
      <c r="I66">
        <f t="shared" si="0"/>
        <v>0</v>
      </c>
      <c r="J66" s="5">
        <f>(Sales_data[[#This Row],[Sales Amount]]-Sales_data[[#This Row],[TARGET]])</f>
        <v>-8248.2000000000007</v>
      </c>
    </row>
    <row r="67" spans="1:10" x14ac:dyDescent="0.3">
      <c r="A67" s="2">
        <v>45709</v>
      </c>
      <c r="B67" s="1" t="s">
        <v>64</v>
      </c>
      <c r="C67" t="s">
        <v>11</v>
      </c>
      <c r="D67" t="s">
        <v>65</v>
      </c>
      <c r="E67" t="s">
        <v>8</v>
      </c>
      <c r="F67">
        <v>6900</v>
      </c>
      <c r="G67" t="s">
        <v>10</v>
      </c>
      <c r="H67">
        <v>15000</v>
      </c>
      <c r="I67">
        <f t="shared" ref="I67:I130" si="1">IF(F67&gt;=H67,0.1*F67,0)</f>
        <v>0</v>
      </c>
      <c r="J67" s="5">
        <f>(Sales_data[[#This Row],[Sales Amount]]-Sales_data[[#This Row],[TARGET]])</f>
        <v>-8100</v>
      </c>
    </row>
    <row r="68" spans="1:10" x14ac:dyDescent="0.3">
      <c r="A68" s="2">
        <v>45709</v>
      </c>
      <c r="B68" s="1" t="s">
        <v>57</v>
      </c>
      <c r="C68" t="s">
        <v>58</v>
      </c>
      <c r="D68" t="s">
        <v>59</v>
      </c>
      <c r="E68" t="s">
        <v>8</v>
      </c>
      <c r="F68">
        <v>6945.4</v>
      </c>
      <c r="G68" t="s">
        <v>12</v>
      </c>
      <c r="H68">
        <v>15000</v>
      </c>
      <c r="I68">
        <f t="shared" si="1"/>
        <v>0</v>
      </c>
      <c r="J68" s="5">
        <f>(Sales_data[[#This Row],[Sales Amount]]-Sales_data[[#This Row],[TARGET]])</f>
        <v>-8054.6</v>
      </c>
    </row>
    <row r="69" spans="1:10" x14ac:dyDescent="0.3">
      <c r="A69" s="2">
        <v>45709</v>
      </c>
      <c r="B69" s="1" t="s">
        <v>66</v>
      </c>
      <c r="C69" t="s">
        <v>7</v>
      </c>
      <c r="D69" t="s">
        <v>67</v>
      </c>
      <c r="E69" t="s">
        <v>8</v>
      </c>
      <c r="F69">
        <v>7009.2</v>
      </c>
      <c r="G69" t="s">
        <v>10</v>
      </c>
      <c r="H69">
        <v>15000</v>
      </c>
      <c r="I69">
        <f t="shared" si="1"/>
        <v>0</v>
      </c>
      <c r="J69" s="5">
        <f>(Sales_data[[#This Row],[Sales Amount]]-Sales_data[[#This Row],[TARGET]])</f>
        <v>-7990.8</v>
      </c>
    </row>
    <row r="70" spans="1:10" x14ac:dyDescent="0.3">
      <c r="A70" s="2">
        <v>45709</v>
      </c>
      <c r="B70" s="1" t="s">
        <v>64</v>
      </c>
      <c r="C70" t="s">
        <v>11</v>
      </c>
      <c r="D70" t="s">
        <v>65</v>
      </c>
      <c r="E70" t="s">
        <v>8</v>
      </c>
      <c r="F70">
        <v>7088.9</v>
      </c>
      <c r="G70" t="s">
        <v>9</v>
      </c>
      <c r="H70">
        <v>15000</v>
      </c>
      <c r="I70">
        <f t="shared" si="1"/>
        <v>0</v>
      </c>
      <c r="J70" s="5">
        <f>(Sales_data[[#This Row],[Sales Amount]]-Sales_data[[#This Row],[TARGET]])</f>
        <v>-7911.1</v>
      </c>
    </row>
    <row r="71" spans="1:10" x14ac:dyDescent="0.3">
      <c r="A71" s="2">
        <v>45709</v>
      </c>
      <c r="B71" s="1" t="s">
        <v>60</v>
      </c>
      <c r="C71" t="s">
        <v>14</v>
      </c>
      <c r="D71" t="s">
        <v>61</v>
      </c>
      <c r="E71" t="s">
        <v>8</v>
      </c>
      <c r="F71">
        <v>7196</v>
      </c>
      <c r="G71" t="s">
        <v>10</v>
      </c>
      <c r="H71">
        <v>15000</v>
      </c>
      <c r="I71">
        <f t="shared" si="1"/>
        <v>0</v>
      </c>
      <c r="J71" s="5">
        <f>(Sales_data[[#This Row],[Sales Amount]]-Sales_data[[#This Row],[TARGET]])</f>
        <v>-7804</v>
      </c>
    </row>
    <row r="72" spans="1:10" x14ac:dyDescent="0.3">
      <c r="A72" s="2">
        <v>45709</v>
      </c>
      <c r="B72" s="1" t="s">
        <v>57</v>
      </c>
      <c r="C72" t="s">
        <v>58</v>
      </c>
      <c r="D72" t="s">
        <v>59</v>
      </c>
      <c r="E72" t="s">
        <v>8</v>
      </c>
      <c r="F72">
        <v>7343.2</v>
      </c>
      <c r="G72" t="s">
        <v>10</v>
      </c>
      <c r="H72">
        <v>15000</v>
      </c>
      <c r="I72">
        <f t="shared" si="1"/>
        <v>0</v>
      </c>
      <c r="J72" s="5">
        <f>(Sales_data[[#This Row],[Sales Amount]]-Sales_data[[#This Row],[TARGET]])</f>
        <v>-7656.8</v>
      </c>
    </row>
    <row r="73" spans="1:10" x14ac:dyDescent="0.3">
      <c r="A73" s="2">
        <v>45709</v>
      </c>
      <c r="B73" s="1" t="s">
        <v>57</v>
      </c>
      <c r="C73" t="s">
        <v>58</v>
      </c>
      <c r="D73" t="s">
        <v>59</v>
      </c>
      <c r="E73" t="s">
        <v>8</v>
      </c>
      <c r="F73">
        <v>7356.6</v>
      </c>
      <c r="G73" t="s">
        <v>9</v>
      </c>
      <c r="H73">
        <v>15000</v>
      </c>
      <c r="I73">
        <f t="shared" si="1"/>
        <v>0</v>
      </c>
      <c r="J73" s="5">
        <f>(Sales_data[[#This Row],[Sales Amount]]-Sales_data[[#This Row],[TARGET]])</f>
        <v>-7643.4</v>
      </c>
    </row>
    <row r="74" spans="1:10" x14ac:dyDescent="0.3">
      <c r="A74" s="2">
        <v>45709</v>
      </c>
      <c r="B74" s="1" t="s">
        <v>57</v>
      </c>
      <c r="C74" t="s">
        <v>58</v>
      </c>
      <c r="D74" t="s">
        <v>59</v>
      </c>
      <c r="E74" t="s">
        <v>8</v>
      </c>
      <c r="F74">
        <v>7658.2</v>
      </c>
      <c r="G74" t="s">
        <v>12</v>
      </c>
      <c r="H74">
        <v>15000</v>
      </c>
      <c r="I74">
        <f t="shared" si="1"/>
        <v>0</v>
      </c>
      <c r="J74" s="5">
        <f>(Sales_data[[#This Row],[Sales Amount]]-Sales_data[[#This Row],[TARGET]])</f>
        <v>-7341.8</v>
      </c>
    </row>
    <row r="75" spans="1:10" x14ac:dyDescent="0.3">
      <c r="A75" s="2">
        <v>45709</v>
      </c>
      <c r="B75" s="1" t="s">
        <v>62</v>
      </c>
      <c r="C75" t="s">
        <v>13</v>
      </c>
      <c r="D75" t="s">
        <v>63</v>
      </c>
      <c r="E75" t="s">
        <v>8</v>
      </c>
      <c r="F75">
        <v>7658.6</v>
      </c>
      <c r="G75" t="s">
        <v>10</v>
      </c>
      <c r="H75">
        <v>15000</v>
      </c>
      <c r="I75">
        <f t="shared" si="1"/>
        <v>0</v>
      </c>
      <c r="J75" s="5">
        <f>(Sales_data[[#This Row],[Sales Amount]]-Sales_data[[#This Row],[TARGET]])</f>
        <v>-7341.4</v>
      </c>
    </row>
    <row r="76" spans="1:10" x14ac:dyDescent="0.3">
      <c r="A76" s="2">
        <v>45709</v>
      </c>
      <c r="B76" s="1" t="s">
        <v>60</v>
      </c>
      <c r="C76" t="s">
        <v>14</v>
      </c>
      <c r="D76" t="s">
        <v>61</v>
      </c>
      <c r="E76" t="s">
        <v>8</v>
      </c>
      <c r="F76">
        <v>7714</v>
      </c>
      <c r="G76" t="s">
        <v>9</v>
      </c>
      <c r="H76">
        <v>15000</v>
      </c>
      <c r="I76">
        <f t="shared" si="1"/>
        <v>0</v>
      </c>
      <c r="J76" s="5">
        <f>(Sales_data[[#This Row],[Sales Amount]]-Sales_data[[#This Row],[TARGET]])</f>
        <v>-7286</v>
      </c>
    </row>
    <row r="77" spans="1:10" x14ac:dyDescent="0.3">
      <c r="A77" s="2">
        <v>45709</v>
      </c>
      <c r="B77" s="1" t="s">
        <v>64</v>
      </c>
      <c r="C77" t="s">
        <v>11</v>
      </c>
      <c r="D77" t="s">
        <v>65</v>
      </c>
      <c r="E77" t="s">
        <v>8</v>
      </c>
      <c r="F77">
        <v>7982.7</v>
      </c>
      <c r="G77" t="s">
        <v>12</v>
      </c>
      <c r="H77">
        <v>15000</v>
      </c>
      <c r="I77">
        <f t="shared" si="1"/>
        <v>0</v>
      </c>
      <c r="J77" s="5">
        <f>(Sales_data[[#This Row],[Sales Amount]]-Sales_data[[#This Row],[TARGET]])</f>
        <v>-7017.3</v>
      </c>
    </row>
    <row r="78" spans="1:10" x14ac:dyDescent="0.3">
      <c r="A78" s="2">
        <v>45713</v>
      </c>
      <c r="B78" s="1" t="s">
        <v>71</v>
      </c>
      <c r="C78" t="s">
        <v>72</v>
      </c>
      <c r="D78" t="s">
        <v>73</v>
      </c>
      <c r="E78" t="s">
        <v>31</v>
      </c>
      <c r="F78">
        <v>8001</v>
      </c>
      <c r="G78" t="s">
        <v>9</v>
      </c>
      <c r="H78">
        <v>15000</v>
      </c>
      <c r="I78">
        <f t="shared" si="1"/>
        <v>0</v>
      </c>
      <c r="J78" s="5">
        <f>(Sales_data[[#This Row],[Sales Amount]]-Sales_data[[#This Row],[TARGET]])</f>
        <v>-6999</v>
      </c>
    </row>
    <row r="79" spans="1:10" x14ac:dyDescent="0.3">
      <c r="A79" s="2">
        <v>45713</v>
      </c>
      <c r="B79" s="1" t="s">
        <v>32</v>
      </c>
      <c r="C79" t="s">
        <v>33</v>
      </c>
      <c r="D79" t="s">
        <v>34</v>
      </c>
      <c r="E79" t="s">
        <v>31</v>
      </c>
      <c r="F79">
        <v>8284.5</v>
      </c>
      <c r="G79" t="s">
        <v>10</v>
      </c>
      <c r="H79">
        <v>15000</v>
      </c>
      <c r="I79">
        <f t="shared" si="1"/>
        <v>0</v>
      </c>
      <c r="J79" s="5">
        <f>(Sales_data[[#This Row],[Sales Amount]]-Sales_data[[#This Row],[TARGET]])</f>
        <v>-6715.5</v>
      </c>
    </row>
    <row r="80" spans="1:10" x14ac:dyDescent="0.3">
      <c r="A80" s="2">
        <v>45713</v>
      </c>
      <c r="B80" s="1" t="s">
        <v>15</v>
      </c>
      <c r="C80" t="s">
        <v>16</v>
      </c>
      <c r="D80" t="s">
        <v>17</v>
      </c>
      <c r="E80" t="s">
        <v>18</v>
      </c>
      <c r="F80">
        <v>8810.9</v>
      </c>
      <c r="G80" t="s">
        <v>9</v>
      </c>
      <c r="H80">
        <v>15000</v>
      </c>
      <c r="I80">
        <f t="shared" si="1"/>
        <v>0</v>
      </c>
      <c r="J80" s="5">
        <f>(Sales_data[[#This Row],[Sales Amount]]-Sales_data[[#This Row],[TARGET]])</f>
        <v>-6189.1</v>
      </c>
    </row>
    <row r="81" spans="1:10" x14ac:dyDescent="0.3">
      <c r="A81" s="2">
        <v>45713</v>
      </c>
      <c r="B81" s="1" t="s">
        <v>22</v>
      </c>
      <c r="C81" t="s">
        <v>23</v>
      </c>
      <c r="D81" t="s">
        <v>24</v>
      </c>
      <c r="E81" t="s">
        <v>18</v>
      </c>
      <c r="F81">
        <v>9058.4</v>
      </c>
      <c r="G81" t="s">
        <v>9</v>
      </c>
      <c r="H81">
        <v>15000</v>
      </c>
      <c r="I81">
        <f t="shared" si="1"/>
        <v>0</v>
      </c>
      <c r="J81" s="5">
        <f>(Sales_data[[#This Row],[Sales Amount]]-Sales_data[[#This Row],[TARGET]])</f>
        <v>-5941.6</v>
      </c>
    </row>
    <row r="82" spans="1:10" x14ac:dyDescent="0.3">
      <c r="A82" s="2">
        <v>45713</v>
      </c>
      <c r="B82" s="1" t="s">
        <v>22</v>
      </c>
      <c r="C82" t="s">
        <v>23</v>
      </c>
      <c r="D82" t="s">
        <v>24</v>
      </c>
      <c r="E82" t="s">
        <v>18</v>
      </c>
      <c r="F82">
        <v>9499</v>
      </c>
      <c r="G82" t="s">
        <v>10</v>
      </c>
      <c r="H82">
        <v>15000</v>
      </c>
      <c r="I82">
        <f t="shared" si="1"/>
        <v>0</v>
      </c>
      <c r="J82" s="5">
        <f>(Sales_data[[#This Row],[Sales Amount]]-Sales_data[[#This Row],[TARGET]])</f>
        <v>-5501</v>
      </c>
    </row>
    <row r="83" spans="1:10" x14ac:dyDescent="0.3">
      <c r="A83" s="2">
        <v>45713</v>
      </c>
      <c r="B83" s="1" t="s">
        <v>19</v>
      </c>
      <c r="C83" t="s">
        <v>20</v>
      </c>
      <c r="D83" t="s">
        <v>21</v>
      </c>
      <c r="E83" t="s">
        <v>18</v>
      </c>
      <c r="F83">
        <v>9651.2000000000007</v>
      </c>
      <c r="G83" t="s">
        <v>9</v>
      </c>
      <c r="H83">
        <v>15000</v>
      </c>
      <c r="I83">
        <f t="shared" si="1"/>
        <v>0</v>
      </c>
      <c r="J83" s="5">
        <f>(Sales_data[[#This Row],[Sales Amount]]-Sales_data[[#This Row],[TARGET]])</f>
        <v>-5348.7999999999993</v>
      </c>
    </row>
    <row r="84" spans="1:10" x14ac:dyDescent="0.3">
      <c r="A84" s="2">
        <v>45713</v>
      </c>
      <c r="B84" s="1" t="s">
        <v>22</v>
      </c>
      <c r="C84" t="s">
        <v>23</v>
      </c>
      <c r="D84" t="s">
        <v>24</v>
      </c>
      <c r="E84" t="s">
        <v>18</v>
      </c>
      <c r="F84">
        <v>9794</v>
      </c>
      <c r="G84" t="s">
        <v>10</v>
      </c>
      <c r="H84">
        <v>15000</v>
      </c>
      <c r="I84">
        <f t="shared" si="1"/>
        <v>0</v>
      </c>
      <c r="J84" s="5">
        <f>(Sales_data[[#This Row],[Sales Amount]]-Sales_data[[#This Row],[TARGET]])</f>
        <v>-5206</v>
      </c>
    </row>
    <row r="85" spans="1:10" x14ac:dyDescent="0.3">
      <c r="A85" s="2">
        <v>45737</v>
      </c>
      <c r="B85" s="1" t="s">
        <v>32</v>
      </c>
      <c r="C85" t="s">
        <v>33</v>
      </c>
      <c r="D85" t="s">
        <v>34</v>
      </c>
      <c r="E85" t="s">
        <v>31</v>
      </c>
      <c r="F85">
        <v>8322.4</v>
      </c>
      <c r="G85" t="s">
        <v>9</v>
      </c>
      <c r="H85">
        <v>15000</v>
      </c>
      <c r="I85">
        <f t="shared" si="1"/>
        <v>0</v>
      </c>
      <c r="J85" s="5">
        <f>(Sales_data[[#This Row],[Sales Amount]]-Sales_data[[#This Row],[TARGET]])</f>
        <v>-6677.6</v>
      </c>
    </row>
    <row r="86" spans="1:10" x14ac:dyDescent="0.3">
      <c r="A86" s="2">
        <v>45737</v>
      </c>
      <c r="B86" s="1" t="s">
        <v>38</v>
      </c>
      <c r="C86" t="s">
        <v>39</v>
      </c>
      <c r="D86" t="s">
        <v>40</v>
      </c>
      <c r="E86" t="s">
        <v>31</v>
      </c>
      <c r="F86">
        <v>8501.9</v>
      </c>
      <c r="G86" t="s">
        <v>10</v>
      </c>
      <c r="H86">
        <v>15000</v>
      </c>
      <c r="I86">
        <f t="shared" si="1"/>
        <v>0</v>
      </c>
      <c r="J86" s="5">
        <f>(Sales_data[[#This Row],[Sales Amount]]-Sales_data[[#This Row],[TARGET]])</f>
        <v>-6498.1</v>
      </c>
    </row>
    <row r="87" spans="1:10" x14ac:dyDescent="0.3">
      <c r="A87" s="2">
        <v>45737</v>
      </c>
      <c r="B87" s="1" t="s">
        <v>28</v>
      </c>
      <c r="C87" t="s">
        <v>29</v>
      </c>
      <c r="D87" t="s">
        <v>30</v>
      </c>
      <c r="E87" t="s">
        <v>31</v>
      </c>
      <c r="F87">
        <v>8520</v>
      </c>
      <c r="G87" t="s">
        <v>12</v>
      </c>
      <c r="H87">
        <v>15000</v>
      </c>
      <c r="I87">
        <f t="shared" si="1"/>
        <v>0</v>
      </c>
      <c r="J87" s="5">
        <f>(Sales_data[[#This Row],[Sales Amount]]-Sales_data[[#This Row],[TARGET]])</f>
        <v>-6480</v>
      </c>
    </row>
    <row r="88" spans="1:10" x14ac:dyDescent="0.3">
      <c r="A88" s="2">
        <v>45737</v>
      </c>
      <c r="B88" s="1" t="s">
        <v>28</v>
      </c>
      <c r="C88" t="s">
        <v>29</v>
      </c>
      <c r="D88" t="s">
        <v>30</v>
      </c>
      <c r="E88" t="s">
        <v>31</v>
      </c>
      <c r="F88">
        <v>8721.6</v>
      </c>
      <c r="G88" t="s">
        <v>12</v>
      </c>
      <c r="H88">
        <v>15000</v>
      </c>
      <c r="I88">
        <f t="shared" si="1"/>
        <v>0</v>
      </c>
      <c r="J88" s="5">
        <f>(Sales_data[[#This Row],[Sales Amount]]-Sales_data[[#This Row],[TARGET]])</f>
        <v>-6278.4</v>
      </c>
    </row>
    <row r="89" spans="1:10" x14ac:dyDescent="0.3">
      <c r="A89" s="2">
        <v>45737</v>
      </c>
      <c r="B89" s="1" t="s">
        <v>32</v>
      </c>
      <c r="C89" t="s">
        <v>33</v>
      </c>
      <c r="D89" t="s">
        <v>34</v>
      </c>
      <c r="E89" t="s">
        <v>31</v>
      </c>
      <c r="F89">
        <v>8772</v>
      </c>
      <c r="G89" t="s">
        <v>10</v>
      </c>
      <c r="H89">
        <v>15000</v>
      </c>
      <c r="I89">
        <f t="shared" si="1"/>
        <v>0</v>
      </c>
      <c r="J89" s="5">
        <f>(Sales_data[[#This Row],[Sales Amount]]-Sales_data[[#This Row],[TARGET]])</f>
        <v>-6228</v>
      </c>
    </row>
    <row r="90" spans="1:10" x14ac:dyDescent="0.3">
      <c r="A90" s="2">
        <v>45737</v>
      </c>
      <c r="B90" s="1" t="s">
        <v>32</v>
      </c>
      <c r="C90" t="s">
        <v>33</v>
      </c>
      <c r="D90" t="s">
        <v>34</v>
      </c>
      <c r="E90" t="s">
        <v>31</v>
      </c>
      <c r="F90">
        <v>8925.7000000000007</v>
      </c>
      <c r="G90" t="s">
        <v>9</v>
      </c>
      <c r="H90">
        <v>15000</v>
      </c>
      <c r="I90">
        <f t="shared" si="1"/>
        <v>0</v>
      </c>
      <c r="J90" s="5">
        <f>(Sales_data[[#This Row],[Sales Amount]]-Sales_data[[#This Row],[TARGET]])</f>
        <v>-6074.2999999999993</v>
      </c>
    </row>
    <row r="91" spans="1:10" x14ac:dyDescent="0.3">
      <c r="A91" s="2">
        <v>45737</v>
      </c>
      <c r="B91" s="1" t="s">
        <v>35</v>
      </c>
      <c r="C91" t="s">
        <v>36</v>
      </c>
      <c r="D91" t="s">
        <v>37</v>
      </c>
      <c r="E91" t="s">
        <v>31</v>
      </c>
      <c r="F91">
        <v>9270.1</v>
      </c>
      <c r="G91" t="s">
        <v>9</v>
      </c>
      <c r="H91">
        <v>15000</v>
      </c>
      <c r="I91">
        <f t="shared" si="1"/>
        <v>0</v>
      </c>
      <c r="J91" s="5">
        <f>(Sales_data[[#This Row],[Sales Amount]]-Sales_data[[#This Row],[TARGET]])</f>
        <v>-5729.9</v>
      </c>
    </row>
    <row r="92" spans="1:10" x14ac:dyDescent="0.3">
      <c r="A92" s="2">
        <v>45737</v>
      </c>
      <c r="B92" s="1" t="s">
        <v>71</v>
      </c>
      <c r="C92" t="s">
        <v>72</v>
      </c>
      <c r="D92" t="s">
        <v>73</v>
      </c>
      <c r="E92" t="s">
        <v>31</v>
      </c>
      <c r="F92">
        <v>9292.5</v>
      </c>
      <c r="G92" t="s">
        <v>10</v>
      </c>
      <c r="H92">
        <v>15000</v>
      </c>
      <c r="I92">
        <f t="shared" si="1"/>
        <v>0</v>
      </c>
      <c r="J92" s="5">
        <f>(Sales_data[[#This Row],[Sales Amount]]-Sales_data[[#This Row],[TARGET]])</f>
        <v>-5707.5</v>
      </c>
    </row>
    <row r="93" spans="1:10" x14ac:dyDescent="0.3">
      <c r="A93" s="2">
        <v>45737</v>
      </c>
      <c r="B93" s="1" t="s">
        <v>28</v>
      </c>
      <c r="C93" t="s">
        <v>29</v>
      </c>
      <c r="D93" t="s">
        <v>30</v>
      </c>
      <c r="E93" t="s">
        <v>31</v>
      </c>
      <c r="F93">
        <v>9708.2999999999993</v>
      </c>
      <c r="G93" t="s">
        <v>10</v>
      </c>
      <c r="H93">
        <v>15000</v>
      </c>
      <c r="I93">
        <f t="shared" si="1"/>
        <v>0</v>
      </c>
      <c r="J93" s="5">
        <f>(Sales_data[[#This Row],[Sales Amount]]-Sales_data[[#This Row],[TARGET]])</f>
        <v>-5291.7000000000007</v>
      </c>
    </row>
    <row r="94" spans="1:10" x14ac:dyDescent="0.3">
      <c r="A94" s="2">
        <v>45737</v>
      </c>
      <c r="B94" s="1" t="s">
        <v>32</v>
      </c>
      <c r="C94" t="s">
        <v>33</v>
      </c>
      <c r="D94" t="s">
        <v>34</v>
      </c>
      <c r="E94" t="s">
        <v>31</v>
      </c>
      <c r="F94">
        <v>10500</v>
      </c>
      <c r="G94" t="s">
        <v>10</v>
      </c>
      <c r="H94">
        <v>15000</v>
      </c>
      <c r="I94">
        <f t="shared" si="1"/>
        <v>0</v>
      </c>
      <c r="J94" s="5">
        <f>(Sales_data[[#This Row],[Sales Amount]]-Sales_data[[#This Row],[TARGET]])</f>
        <v>-4500</v>
      </c>
    </row>
    <row r="95" spans="1:10" x14ac:dyDescent="0.3">
      <c r="A95" s="2">
        <v>45737</v>
      </c>
      <c r="B95" s="1" t="s">
        <v>28</v>
      </c>
      <c r="C95" t="s">
        <v>29</v>
      </c>
      <c r="D95" t="s">
        <v>30</v>
      </c>
      <c r="E95" t="s">
        <v>31</v>
      </c>
      <c r="F95">
        <v>10758.7</v>
      </c>
      <c r="G95" t="s">
        <v>10</v>
      </c>
      <c r="H95">
        <v>15000</v>
      </c>
      <c r="I95">
        <f t="shared" si="1"/>
        <v>0</v>
      </c>
      <c r="J95" s="5">
        <f>(Sales_data[[#This Row],[Sales Amount]]-Sales_data[[#This Row],[TARGET]])</f>
        <v>-4241.2999999999993</v>
      </c>
    </row>
    <row r="96" spans="1:10" x14ac:dyDescent="0.3">
      <c r="A96" s="2">
        <v>45737</v>
      </c>
      <c r="B96" s="1" t="s">
        <v>32</v>
      </c>
      <c r="C96" t="s">
        <v>33</v>
      </c>
      <c r="D96" t="s">
        <v>34</v>
      </c>
      <c r="E96" t="s">
        <v>31</v>
      </c>
      <c r="F96">
        <v>10948</v>
      </c>
      <c r="G96" t="s">
        <v>10</v>
      </c>
      <c r="H96">
        <v>15000</v>
      </c>
      <c r="I96">
        <f t="shared" si="1"/>
        <v>0</v>
      </c>
      <c r="J96" s="5">
        <f>(Sales_data[[#This Row],[Sales Amount]]-Sales_data[[#This Row],[TARGET]])</f>
        <v>-4052</v>
      </c>
    </row>
    <row r="97" spans="1:10" x14ac:dyDescent="0.3">
      <c r="A97" s="2">
        <v>45737</v>
      </c>
      <c r="B97" s="1" t="s">
        <v>32</v>
      </c>
      <c r="C97" t="s">
        <v>33</v>
      </c>
      <c r="D97" t="s">
        <v>34</v>
      </c>
      <c r="E97" t="s">
        <v>31</v>
      </c>
      <c r="F97">
        <v>10988.8</v>
      </c>
      <c r="G97" t="s">
        <v>9</v>
      </c>
      <c r="H97">
        <v>15000</v>
      </c>
      <c r="I97">
        <f t="shared" si="1"/>
        <v>0</v>
      </c>
      <c r="J97" s="5">
        <f>(Sales_data[[#This Row],[Sales Amount]]-Sales_data[[#This Row],[TARGET]])</f>
        <v>-4011.2000000000007</v>
      </c>
    </row>
    <row r="98" spans="1:10" x14ac:dyDescent="0.3">
      <c r="A98" s="2">
        <v>45737</v>
      </c>
      <c r="B98" s="1" t="s">
        <v>35</v>
      </c>
      <c r="C98" t="s">
        <v>36</v>
      </c>
      <c r="D98" t="s">
        <v>37</v>
      </c>
      <c r="E98" t="s">
        <v>31</v>
      </c>
      <c r="F98">
        <v>11235</v>
      </c>
      <c r="G98" t="s">
        <v>12</v>
      </c>
      <c r="H98">
        <v>15000</v>
      </c>
      <c r="I98">
        <f t="shared" si="1"/>
        <v>0</v>
      </c>
      <c r="J98" s="5">
        <f>(Sales_data[[#This Row],[Sales Amount]]-Sales_data[[#This Row],[TARGET]])</f>
        <v>-3765</v>
      </c>
    </row>
    <row r="99" spans="1:10" x14ac:dyDescent="0.3">
      <c r="A99" s="2">
        <v>45737</v>
      </c>
      <c r="B99" s="1" t="s">
        <v>71</v>
      </c>
      <c r="C99" t="s">
        <v>72</v>
      </c>
      <c r="D99" t="s">
        <v>73</v>
      </c>
      <c r="E99" t="s">
        <v>31</v>
      </c>
      <c r="F99">
        <v>12019.8</v>
      </c>
      <c r="G99" t="s">
        <v>9</v>
      </c>
      <c r="H99">
        <v>15000</v>
      </c>
      <c r="I99">
        <f t="shared" si="1"/>
        <v>0</v>
      </c>
      <c r="J99" s="5">
        <f>(Sales_data[[#This Row],[Sales Amount]]-Sales_data[[#This Row],[TARGET]])</f>
        <v>-2980.2000000000007</v>
      </c>
    </row>
    <row r="100" spans="1:10" x14ac:dyDescent="0.3">
      <c r="A100" s="2">
        <v>45737</v>
      </c>
      <c r="B100" s="1" t="s">
        <v>45</v>
      </c>
      <c r="C100" t="s">
        <v>46</v>
      </c>
      <c r="D100" t="s">
        <v>47</v>
      </c>
      <c r="E100" t="s">
        <v>44</v>
      </c>
      <c r="F100">
        <v>8082.8</v>
      </c>
      <c r="G100" t="s">
        <v>9</v>
      </c>
      <c r="H100">
        <v>15000</v>
      </c>
      <c r="I100">
        <f t="shared" si="1"/>
        <v>0</v>
      </c>
      <c r="J100" s="5">
        <f>(Sales_data[[#This Row],[Sales Amount]]-Sales_data[[#This Row],[TARGET]])</f>
        <v>-6917.2</v>
      </c>
    </row>
    <row r="101" spans="1:10" x14ac:dyDescent="0.3">
      <c r="A101" s="2">
        <v>45737</v>
      </c>
      <c r="B101" s="1" t="s">
        <v>41</v>
      </c>
      <c r="C101" t="s">
        <v>42</v>
      </c>
      <c r="D101" t="s">
        <v>43</v>
      </c>
      <c r="E101" t="s">
        <v>44</v>
      </c>
      <c r="F101">
        <v>8099.7</v>
      </c>
      <c r="G101" t="s">
        <v>9</v>
      </c>
      <c r="H101">
        <v>15000</v>
      </c>
      <c r="I101">
        <f t="shared" si="1"/>
        <v>0</v>
      </c>
      <c r="J101" s="5">
        <f>(Sales_data[[#This Row],[Sales Amount]]-Sales_data[[#This Row],[TARGET]])</f>
        <v>-6900.3</v>
      </c>
    </row>
    <row r="102" spans="1:10" x14ac:dyDescent="0.3">
      <c r="A102" s="2">
        <v>45737</v>
      </c>
      <c r="B102" s="1" t="s">
        <v>51</v>
      </c>
      <c r="C102" t="s">
        <v>52</v>
      </c>
      <c r="D102" t="s">
        <v>53</v>
      </c>
      <c r="E102" t="s">
        <v>44</v>
      </c>
      <c r="F102">
        <v>8524.4</v>
      </c>
      <c r="G102" t="s">
        <v>12</v>
      </c>
      <c r="H102">
        <v>15000</v>
      </c>
      <c r="I102">
        <f t="shared" si="1"/>
        <v>0</v>
      </c>
      <c r="J102" s="5">
        <f>(Sales_data[[#This Row],[Sales Amount]]-Sales_data[[#This Row],[TARGET]])</f>
        <v>-6475.6</v>
      </c>
    </row>
    <row r="103" spans="1:10" x14ac:dyDescent="0.3">
      <c r="A103" s="2">
        <v>45737</v>
      </c>
      <c r="B103" s="1" t="s">
        <v>45</v>
      </c>
      <c r="C103" t="s">
        <v>46</v>
      </c>
      <c r="D103" t="s">
        <v>47</v>
      </c>
      <c r="E103" t="s">
        <v>44</v>
      </c>
      <c r="F103">
        <v>8772</v>
      </c>
      <c r="G103" t="s">
        <v>12</v>
      </c>
      <c r="H103">
        <v>15000</v>
      </c>
      <c r="I103">
        <f t="shared" si="1"/>
        <v>0</v>
      </c>
      <c r="J103" s="5">
        <f>(Sales_data[[#This Row],[Sales Amount]]-Sales_data[[#This Row],[TARGET]])</f>
        <v>-6228</v>
      </c>
    </row>
    <row r="104" spans="1:10" x14ac:dyDescent="0.3">
      <c r="A104" s="2">
        <v>45737</v>
      </c>
      <c r="B104" s="1" t="s">
        <v>45</v>
      </c>
      <c r="C104" t="s">
        <v>46</v>
      </c>
      <c r="D104" t="s">
        <v>47</v>
      </c>
      <c r="E104" t="s">
        <v>44</v>
      </c>
      <c r="F104">
        <v>8827</v>
      </c>
      <c r="G104" t="s">
        <v>12</v>
      </c>
      <c r="H104">
        <v>15000</v>
      </c>
      <c r="I104">
        <f t="shared" si="1"/>
        <v>0</v>
      </c>
      <c r="J104" s="5">
        <f>(Sales_data[[#This Row],[Sales Amount]]-Sales_data[[#This Row],[TARGET]])</f>
        <v>-6173</v>
      </c>
    </row>
    <row r="105" spans="1:10" x14ac:dyDescent="0.3">
      <c r="A105" s="2">
        <v>45737</v>
      </c>
      <c r="B105" s="1" t="s">
        <v>45</v>
      </c>
      <c r="C105" t="s">
        <v>46</v>
      </c>
      <c r="D105" t="s">
        <v>47</v>
      </c>
      <c r="E105" t="s">
        <v>44</v>
      </c>
      <c r="F105">
        <v>9006</v>
      </c>
      <c r="G105" t="s">
        <v>12</v>
      </c>
      <c r="H105">
        <v>15000</v>
      </c>
      <c r="I105">
        <f t="shared" si="1"/>
        <v>0</v>
      </c>
      <c r="J105" s="5">
        <f>(Sales_data[[#This Row],[Sales Amount]]-Sales_data[[#This Row],[TARGET]])</f>
        <v>-5994</v>
      </c>
    </row>
    <row r="106" spans="1:10" x14ac:dyDescent="0.3">
      <c r="A106" s="2">
        <v>45737</v>
      </c>
      <c r="B106" s="1" t="s">
        <v>54</v>
      </c>
      <c r="C106" t="s">
        <v>55</v>
      </c>
      <c r="D106" t="s">
        <v>56</v>
      </c>
      <c r="E106" t="s">
        <v>44</v>
      </c>
      <c r="F106">
        <v>9405.2999999999993</v>
      </c>
      <c r="G106" t="s">
        <v>10</v>
      </c>
      <c r="H106">
        <v>15000</v>
      </c>
      <c r="I106">
        <f t="shared" si="1"/>
        <v>0</v>
      </c>
      <c r="J106" s="5">
        <f>(Sales_data[[#This Row],[Sales Amount]]-Sales_data[[#This Row],[TARGET]])</f>
        <v>-5594.7000000000007</v>
      </c>
    </row>
    <row r="107" spans="1:10" x14ac:dyDescent="0.3">
      <c r="A107" s="2">
        <v>45737</v>
      </c>
      <c r="B107" s="1" t="s">
        <v>48</v>
      </c>
      <c r="C107" t="s">
        <v>49</v>
      </c>
      <c r="D107" t="s">
        <v>50</v>
      </c>
      <c r="E107" t="s">
        <v>44</v>
      </c>
      <c r="F107">
        <v>9627.9</v>
      </c>
      <c r="G107" t="s">
        <v>9</v>
      </c>
      <c r="H107">
        <v>15000</v>
      </c>
      <c r="I107">
        <f t="shared" si="1"/>
        <v>0</v>
      </c>
      <c r="J107" s="5">
        <f>(Sales_data[[#This Row],[Sales Amount]]-Sales_data[[#This Row],[TARGET]])</f>
        <v>-5372.1</v>
      </c>
    </row>
    <row r="108" spans="1:10" x14ac:dyDescent="0.3">
      <c r="A108" s="2">
        <v>45737</v>
      </c>
      <c r="B108" s="1" t="s">
        <v>48</v>
      </c>
      <c r="C108" t="s">
        <v>49</v>
      </c>
      <c r="D108" t="s">
        <v>50</v>
      </c>
      <c r="E108" t="s">
        <v>44</v>
      </c>
      <c r="F108">
        <v>9704.2000000000007</v>
      </c>
      <c r="G108" t="s">
        <v>12</v>
      </c>
      <c r="H108">
        <v>15000</v>
      </c>
      <c r="I108">
        <f t="shared" si="1"/>
        <v>0</v>
      </c>
      <c r="J108" s="5">
        <f>(Sales_data[[#This Row],[Sales Amount]]-Sales_data[[#This Row],[TARGET]])</f>
        <v>-5295.7999999999993</v>
      </c>
    </row>
    <row r="109" spans="1:10" x14ac:dyDescent="0.3">
      <c r="A109" s="2">
        <v>45737</v>
      </c>
      <c r="B109" s="1" t="s">
        <v>51</v>
      </c>
      <c r="C109" t="s">
        <v>52</v>
      </c>
      <c r="D109" t="s">
        <v>53</v>
      </c>
      <c r="E109" t="s">
        <v>44</v>
      </c>
      <c r="F109">
        <v>9826.4</v>
      </c>
      <c r="G109" t="s">
        <v>12</v>
      </c>
      <c r="H109">
        <v>15000</v>
      </c>
      <c r="I109">
        <f t="shared" si="1"/>
        <v>0</v>
      </c>
      <c r="J109" s="5">
        <f>(Sales_data[[#This Row],[Sales Amount]]-Sales_data[[#This Row],[TARGET]])</f>
        <v>-5173.6000000000004</v>
      </c>
    </row>
    <row r="110" spans="1:10" x14ac:dyDescent="0.3">
      <c r="A110" s="2">
        <v>45737</v>
      </c>
      <c r="B110" s="1" t="s">
        <v>54</v>
      </c>
      <c r="C110" t="s">
        <v>55</v>
      </c>
      <c r="D110" t="s">
        <v>56</v>
      </c>
      <c r="E110" t="s">
        <v>44</v>
      </c>
      <c r="F110">
        <v>9836.7999999999993</v>
      </c>
      <c r="G110" t="s">
        <v>9</v>
      </c>
      <c r="H110">
        <v>15000</v>
      </c>
      <c r="I110">
        <f t="shared" si="1"/>
        <v>0</v>
      </c>
      <c r="J110" s="5">
        <f>(Sales_data[[#This Row],[Sales Amount]]-Sales_data[[#This Row],[TARGET]])</f>
        <v>-5163.2000000000007</v>
      </c>
    </row>
    <row r="111" spans="1:10" x14ac:dyDescent="0.3">
      <c r="A111" s="2">
        <v>45737</v>
      </c>
      <c r="B111" s="1" t="s">
        <v>45</v>
      </c>
      <c r="C111" t="s">
        <v>46</v>
      </c>
      <c r="D111" t="s">
        <v>47</v>
      </c>
      <c r="E111" t="s">
        <v>44</v>
      </c>
      <c r="F111">
        <v>9840</v>
      </c>
      <c r="G111" t="s">
        <v>10</v>
      </c>
      <c r="H111">
        <v>15000</v>
      </c>
      <c r="I111">
        <f t="shared" si="1"/>
        <v>0</v>
      </c>
      <c r="J111" s="5">
        <f>(Sales_data[[#This Row],[Sales Amount]]-Sales_data[[#This Row],[TARGET]])</f>
        <v>-5160</v>
      </c>
    </row>
    <row r="112" spans="1:10" x14ac:dyDescent="0.3">
      <c r="A112" s="2">
        <v>45737</v>
      </c>
      <c r="B112" s="1" t="s">
        <v>45</v>
      </c>
      <c r="C112" t="s">
        <v>46</v>
      </c>
      <c r="D112" t="s">
        <v>47</v>
      </c>
      <c r="E112" t="s">
        <v>44</v>
      </c>
      <c r="F112">
        <v>10032</v>
      </c>
      <c r="G112" t="s">
        <v>9</v>
      </c>
      <c r="H112">
        <v>15000</v>
      </c>
      <c r="I112">
        <f t="shared" si="1"/>
        <v>0</v>
      </c>
      <c r="J112" s="5">
        <f>(Sales_data[[#This Row],[Sales Amount]]-Sales_data[[#This Row],[TARGET]])</f>
        <v>-4968</v>
      </c>
    </row>
    <row r="113" spans="1:10" x14ac:dyDescent="0.3">
      <c r="A113" s="2">
        <v>45737</v>
      </c>
      <c r="B113" s="1" t="s">
        <v>15</v>
      </c>
      <c r="C113" t="s">
        <v>16</v>
      </c>
      <c r="D113" t="s">
        <v>17</v>
      </c>
      <c r="E113" t="s">
        <v>18</v>
      </c>
      <c r="F113">
        <v>10492.2</v>
      </c>
      <c r="G113" t="s">
        <v>12</v>
      </c>
      <c r="H113">
        <v>15000</v>
      </c>
      <c r="I113">
        <f t="shared" si="1"/>
        <v>0</v>
      </c>
      <c r="J113" s="5">
        <f>(Sales_data[[#This Row],[Sales Amount]]-Sales_data[[#This Row],[TARGET]])</f>
        <v>-4507.7999999999993</v>
      </c>
    </row>
    <row r="114" spans="1:10" x14ac:dyDescent="0.3">
      <c r="A114" s="2">
        <v>45737</v>
      </c>
      <c r="B114" s="1" t="s">
        <v>15</v>
      </c>
      <c r="C114" t="s">
        <v>16</v>
      </c>
      <c r="D114" t="s">
        <v>17</v>
      </c>
      <c r="E114" t="s">
        <v>18</v>
      </c>
      <c r="F114">
        <v>11210</v>
      </c>
      <c r="G114" t="s">
        <v>12</v>
      </c>
      <c r="H114">
        <v>15000</v>
      </c>
      <c r="I114">
        <f t="shared" si="1"/>
        <v>0</v>
      </c>
      <c r="J114" s="5">
        <f>(Sales_data[[#This Row],[Sales Amount]]-Sales_data[[#This Row],[TARGET]])</f>
        <v>-3790</v>
      </c>
    </row>
    <row r="115" spans="1:10" x14ac:dyDescent="0.3">
      <c r="A115" s="2">
        <v>45737</v>
      </c>
      <c r="B115" s="1" t="s">
        <v>25</v>
      </c>
      <c r="C115" t="s">
        <v>26</v>
      </c>
      <c r="D115" t="s">
        <v>27</v>
      </c>
      <c r="E115" t="s">
        <v>18</v>
      </c>
      <c r="F115">
        <v>11617.6</v>
      </c>
      <c r="G115" t="s">
        <v>10</v>
      </c>
      <c r="H115">
        <v>15000</v>
      </c>
      <c r="I115">
        <f t="shared" si="1"/>
        <v>0</v>
      </c>
      <c r="J115" s="5">
        <f>(Sales_data[[#This Row],[Sales Amount]]-Sales_data[[#This Row],[TARGET]])</f>
        <v>-3382.3999999999996</v>
      </c>
    </row>
    <row r="116" spans="1:10" x14ac:dyDescent="0.3">
      <c r="A116" s="2">
        <v>45737</v>
      </c>
      <c r="B116" s="1" t="s">
        <v>68</v>
      </c>
      <c r="C116" t="s">
        <v>69</v>
      </c>
      <c r="D116" t="s">
        <v>70</v>
      </c>
      <c r="E116" t="s">
        <v>18</v>
      </c>
      <c r="F116">
        <v>11914.4</v>
      </c>
      <c r="G116" t="s">
        <v>10</v>
      </c>
      <c r="H116">
        <v>15000</v>
      </c>
      <c r="I116">
        <f t="shared" si="1"/>
        <v>0</v>
      </c>
      <c r="J116" s="5">
        <f>(Sales_data[[#This Row],[Sales Amount]]-Sales_data[[#This Row],[TARGET]])</f>
        <v>-3085.6000000000004</v>
      </c>
    </row>
    <row r="117" spans="1:10" x14ac:dyDescent="0.3">
      <c r="A117" s="2">
        <v>45737</v>
      </c>
      <c r="B117" s="1" t="s">
        <v>68</v>
      </c>
      <c r="C117" t="s">
        <v>69</v>
      </c>
      <c r="D117" t="s">
        <v>70</v>
      </c>
      <c r="E117" t="s">
        <v>18</v>
      </c>
      <c r="F117">
        <v>12096</v>
      </c>
      <c r="G117" t="s">
        <v>12</v>
      </c>
      <c r="H117">
        <v>15000</v>
      </c>
      <c r="I117">
        <f t="shared" si="1"/>
        <v>0</v>
      </c>
      <c r="J117" s="5">
        <f>(Sales_data[[#This Row],[Sales Amount]]-Sales_data[[#This Row],[TARGET]])</f>
        <v>-2904</v>
      </c>
    </row>
    <row r="118" spans="1:10" x14ac:dyDescent="0.3">
      <c r="A118" s="2">
        <v>45737</v>
      </c>
      <c r="B118" s="1" t="s">
        <v>62</v>
      </c>
      <c r="C118" t="s">
        <v>13</v>
      </c>
      <c r="D118" t="s">
        <v>63</v>
      </c>
      <c r="E118" t="s">
        <v>8</v>
      </c>
      <c r="F118">
        <v>8065.6</v>
      </c>
      <c r="G118" t="s">
        <v>12</v>
      </c>
      <c r="H118">
        <v>15000</v>
      </c>
      <c r="I118">
        <f t="shared" si="1"/>
        <v>0</v>
      </c>
      <c r="J118" s="5">
        <f>(Sales_data[[#This Row],[Sales Amount]]-Sales_data[[#This Row],[TARGET]])</f>
        <v>-6934.4</v>
      </c>
    </row>
    <row r="119" spans="1:10" x14ac:dyDescent="0.3">
      <c r="A119" s="2">
        <v>45737</v>
      </c>
      <c r="B119" s="1" t="s">
        <v>66</v>
      </c>
      <c r="C119" t="s">
        <v>7</v>
      </c>
      <c r="D119" t="s">
        <v>67</v>
      </c>
      <c r="E119" t="s">
        <v>8</v>
      </c>
      <c r="F119">
        <v>8095.5</v>
      </c>
      <c r="G119" t="s">
        <v>9</v>
      </c>
      <c r="H119">
        <v>15000</v>
      </c>
      <c r="I119">
        <f t="shared" si="1"/>
        <v>0</v>
      </c>
      <c r="J119" s="5">
        <f>(Sales_data[[#This Row],[Sales Amount]]-Sales_data[[#This Row],[TARGET]])</f>
        <v>-6904.5</v>
      </c>
    </row>
    <row r="120" spans="1:10" x14ac:dyDescent="0.3">
      <c r="A120" s="2">
        <v>45737</v>
      </c>
      <c r="B120" s="1" t="s">
        <v>62</v>
      </c>
      <c r="C120" t="s">
        <v>13</v>
      </c>
      <c r="D120" t="s">
        <v>63</v>
      </c>
      <c r="E120" t="s">
        <v>8</v>
      </c>
      <c r="F120">
        <v>8694</v>
      </c>
      <c r="G120" t="s">
        <v>9</v>
      </c>
      <c r="H120">
        <v>15000</v>
      </c>
      <c r="I120">
        <f t="shared" si="1"/>
        <v>0</v>
      </c>
      <c r="J120" s="5">
        <f>(Sales_data[[#This Row],[Sales Amount]]-Sales_data[[#This Row],[TARGET]])</f>
        <v>-6306</v>
      </c>
    </row>
    <row r="121" spans="1:10" x14ac:dyDescent="0.3">
      <c r="A121" s="2">
        <v>45737</v>
      </c>
      <c r="B121" s="1" t="s">
        <v>57</v>
      </c>
      <c r="C121" t="s">
        <v>58</v>
      </c>
      <c r="D121" t="s">
        <v>59</v>
      </c>
      <c r="E121" t="s">
        <v>8</v>
      </c>
      <c r="F121">
        <v>8914.5</v>
      </c>
      <c r="G121" t="s">
        <v>9</v>
      </c>
      <c r="H121">
        <v>15000</v>
      </c>
      <c r="I121">
        <f t="shared" si="1"/>
        <v>0</v>
      </c>
      <c r="J121" s="5">
        <f>(Sales_data[[#This Row],[Sales Amount]]-Sales_data[[#This Row],[TARGET]])</f>
        <v>-6085.5</v>
      </c>
    </row>
    <row r="122" spans="1:10" x14ac:dyDescent="0.3">
      <c r="A122" s="2">
        <v>45737</v>
      </c>
      <c r="B122" s="1" t="s">
        <v>66</v>
      </c>
      <c r="C122" t="s">
        <v>7</v>
      </c>
      <c r="D122" t="s">
        <v>67</v>
      </c>
      <c r="E122" t="s">
        <v>8</v>
      </c>
      <c r="F122">
        <v>9004.7999999999993</v>
      </c>
      <c r="G122" t="s">
        <v>9</v>
      </c>
      <c r="H122">
        <v>15000</v>
      </c>
      <c r="I122">
        <f t="shared" si="1"/>
        <v>0</v>
      </c>
      <c r="J122" s="5">
        <f>(Sales_data[[#This Row],[Sales Amount]]-Sales_data[[#This Row],[TARGET]])</f>
        <v>-5995.2000000000007</v>
      </c>
    </row>
    <row r="123" spans="1:10" x14ac:dyDescent="0.3">
      <c r="A123" s="2">
        <v>45737</v>
      </c>
      <c r="B123" s="1" t="s">
        <v>64</v>
      </c>
      <c r="C123" t="s">
        <v>11</v>
      </c>
      <c r="D123" t="s">
        <v>65</v>
      </c>
      <c r="E123" t="s">
        <v>8</v>
      </c>
      <c r="F123">
        <v>9098.6</v>
      </c>
      <c r="G123" t="s">
        <v>12</v>
      </c>
      <c r="H123">
        <v>15000</v>
      </c>
      <c r="I123">
        <f t="shared" si="1"/>
        <v>0</v>
      </c>
      <c r="J123" s="5">
        <f>(Sales_data[[#This Row],[Sales Amount]]-Sales_data[[#This Row],[TARGET]])</f>
        <v>-5901.4</v>
      </c>
    </row>
    <row r="124" spans="1:10" x14ac:dyDescent="0.3">
      <c r="A124" s="2">
        <v>45737</v>
      </c>
      <c r="B124" s="1" t="s">
        <v>62</v>
      </c>
      <c r="C124" t="s">
        <v>13</v>
      </c>
      <c r="D124" t="s">
        <v>63</v>
      </c>
      <c r="E124" t="s">
        <v>8</v>
      </c>
      <c r="F124">
        <v>9116</v>
      </c>
      <c r="G124" t="s">
        <v>9</v>
      </c>
      <c r="H124">
        <v>15000</v>
      </c>
      <c r="I124">
        <f t="shared" si="1"/>
        <v>0</v>
      </c>
      <c r="J124" s="5">
        <f>(Sales_data[[#This Row],[Sales Amount]]-Sales_data[[#This Row],[TARGET]])</f>
        <v>-5884</v>
      </c>
    </row>
    <row r="125" spans="1:10" x14ac:dyDescent="0.3">
      <c r="A125" s="2">
        <v>45737</v>
      </c>
      <c r="B125" s="1" t="s">
        <v>62</v>
      </c>
      <c r="C125" t="s">
        <v>13</v>
      </c>
      <c r="D125" t="s">
        <v>63</v>
      </c>
      <c r="E125" t="s">
        <v>8</v>
      </c>
      <c r="F125">
        <v>9574.7999999999993</v>
      </c>
      <c r="G125" t="s">
        <v>10</v>
      </c>
      <c r="H125">
        <v>15000</v>
      </c>
      <c r="I125">
        <f t="shared" si="1"/>
        <v>0</v>
      </c>
      <c r="J125" s="5">
        <f>(Sales_data[[#This Row],[Sales Amount]]-Sales_data[[#This Row],[TARGET]])</f>
        <v>-5425.2000000000007</v>
      </c>
    </row>
    <row r="126" spans="1:10" x14ac:dyDescent="0.3">
      <c r="A126" s="2">
        <v>45737</v>
      </c>
      <c r="B126" s="1" t="s">
        <v>66</v>
      </c>
      <c r="C126" t="s">
        <v>7</v>
      </c>
      <c r="D126" t="s">
        <v>67</v>
      </c>
      <c r="E126" t="s">
        <v>8</v>
      </c>
      <c r="F126">
        <v>9683</v>
      </c>
      <c r="G126" t="s">
        <v>12</v>
      </c>
      <c r="H126">
        <v>15000</v>
      </c>
      <c r="I126">
        <f t="shared" si="1"/>
        <v>0</v>
      </c>
      <c r="J126" s="5">
        <f>(Sales_data[[#This Row],[Sales Amount]]-Sales_data[[#This Row],[TARGET]])</f>
        <v>-5317</v>
      </c>
    </row>
    <row r="127" spans="1:10" x14ac:dyDescent="0.3">
      <c r="A127" s="2">
        <v>45737</v>
      </c>
      <c r="B127" s="1" t="s">
        <v>62</v>
      </c>
      <c r="C127" t="s">
        <v>13</v>
      </c>
      <c r="D127" t="s">
        <v>63</v>
      </c>
      <c r="E127" t="s">
        <v>8</v>
      </c>
      <c r="F127">
        <v>9697.6</v>
      </c>
      <c r="G127" t="s">
        <v>10</v>
      </c>
      <c r="H127">
        <v>15000</v>
      </c>
      <c r="I127">
        <f t="shared" si="1"/>
        <v>0</v>
      </c>
      <c r="J127" s="5">
        <f>(Sales_data[[#This Row],[Sales Amount]]-Sales_data[[#This Row],[TARGET]])</f>
        <v>-5302.4</v>
      </c>
    </row>
    <row r="128" spans="1:10" x14ac:dyDescent="0.3">
      <c r="A128" s="2">
        <v>45737</v>
      </c>
      <c r="B128" s="1" t="s">
        <v>57</v>
      </c>
      <c r="C128" t="s">
        <v>58</v>
      </c>
      <c r="D128" t="s">
        <v>59</v>
      </c>
      <c r="E128" t="s">
        <v>8</v>
      </c>
      <c r="F128">
        <v>10019.200000000001</v>
      </c>
      <c r="G128" t="s">
        <v>12</v>
      </c>
      <c r="H128">
        <v>15000</v>
      </c>
      <c r="I128">
        <f t="shared" si="1"/>
        <v>0</v>
      </c>
      <c r="J128" s="5">
        <f>(Sales_data[[#This Row],[Sales Amount]]-Sales_data[[#This Row],[TARGET]])</f>
        <v>-4980.7999999999993</v>
      </c>
    </row>
    <row r="129" spans="1:10" x14ac:dyDescent="0.3">
      <c r="A129" s="2">
        <v>45737</v>
      </c>
      <c r="B129" s="1" t="s">
        <v>62</v>
      </c>
      <c r="C129" t="s">
        <v>13</v>
      </c>
      <c r="D129" t="s">
        <v>63</v>
      </c>
      <c r="E129" t="s">
        <v>8</v>
      </c>
      <c r="F129">
        <v>10067.200000000001</v>
      </c>
      <c r="G129" t="s">
        <v>12</v>
      </c>
      <c r="H129">
        <v>15000</v>
      </c>
      <c r="I129">
        <f t="shared" si="1"/>
        <v>0</v>
      </c>
      <c r="J129" s="5">
        <f>(Sales_data[[#This Row],[Sales Amount]]-Sales_data[[#This Row],[TARGET]])</f>
        <v>-4932.7999999999993</v>
      </c>
    </row>
    <row r="130" spans="1:10" x14ac:dyDescent="0.3">
      <c r="A130" s="2">
        <v>45737</v>
      </c>
      <c r="B130" s="1" t="s">
        <v>64</v>
      </c>
      <c r="C130" t="s">
        <v>11</v>
      </c>
      <c r="D130" t="s">
        <v>65</v>
      </c>
      <c r="E130" t="s">
        <v>8</v>
      </c>
      <c r="F130">
        <v>10110.299999999999</v>
      </c>
      <c r="G130" t="s">
        <v>9</v>
      </c>
      <c r="H130">
        <v>15000</v>
      </c>
      <c r="I130">
        <f t="shared" si="1"/>
        <v>0</v>
      </c>
      <c r="J130" s="5">
        <f>(Sales_data[[#This Row],[Sales Amount]]-Sales_data[[#This Row],[TARGET]])</f>
        <v>-4889.7000000000007</v>
      </c>
    </row>
    <row r="131" spans="1:10" x14ac:dyDescent="0.3">
      <c r="A131" s="2">
        <v>45737</v>
      </c>
      <c r="B131" s="1" t="s">
        <v>62</v>
      </c>
      <c r="C131" t="s">
        <v>13</v>
      </c>
      <c r="D131" t="s">
        <v>63</v>
      </c>
      <c r="E131" t="s">
        <v>8</v>
      </c>
      <c r="F131">
        <v>10176</v>
      </c>
      <c r="G131" t="s">
        <v>10</v>
      </c>
      <c r="H131">
        <v>15000</v>
      </c>
      <c r="I131">
        <f t="shared" ref="I131:I194" si="2">IF(F131&gt;=H131,0.1*F131,0)</f>
        <v>0</v>
      </c>
      <c r="J131" s="5">
        <f>(Sales_data[[#This Row],[Sales Amount]]-Sales_data[[#This Row],[TARGET]])</f>
        <v>-4824</v>
      </c>
    </row>
    <row r="132" spans="1:10" x14ac:dyDescent="0.3">
      <c r="A132" s="2">
        <v>45741</v>
      </c>
      <c r="B132" s="1" t="s">
        <v>35</v>
      </c>
      <c r="C132" t="s">
        <v>36</v>
      </c>
      <c r="D132" t="s">
        <v>37</v>
      </c>
      <c r="E132" t="s">
        <v>31</v>
      </c>
      <c r="F132">
        <v>12124.2</v>
      </c>
      <c r="G132" t="s">
        <v>12</v>
      </c>
      <c r="H132">
        <v>15000</v>
      </c>
      <c r="I132">
        <f t="shared" si="2"/>
        <v>0</v>
      </c>
      <c r="J132" s="5">
        <f>(Sales_data[[#This Row],[Sales Amount]]-Sales_data[[#This Row],[TARGET]])</f>
        <v>-2875.7999999999993</v>
      </c>
    </row>
    <row r="133" spans="1:10" x14ac:dyDescent="0.3">
      <c r="A133" s="2">
        <v>45741</v>
      </c>
      <c r="B133" s="1" t="s">
        <v>45</v>
      </c>
      <c r="C133" t="s">
        <v>46</v>
      </c>
      <c r="D133" t="s">
        <v>47</v>
      </c>
      <c r="E133" t="s">
        <v>44</v>
      </c>
      <c r="F133">
        <v>10200</v>
      </c>
      <c r="G133" t="s">
        <v>12</v>
      </c>
      <c r="H133">
        <v>15000</v>
      </c>
      <c r="I133">
        <f t="shared" si="2"/>
        <v>0</v>
      </c>
      <c r="J133" s="5">
        <f>(Sales_data[[#This Row],[Sales Amount]]-Sales_data[[#This Row],[TARGET]])</f>
        <v>-4800</v>
      </c>
    </row>
    <row r="134" spans="1:10" x14ac:dyDescent="0.3">
      <c r="A134" s="2">
        <v>45741</v>
      </c>
      <c r="B134" s="1" t="s">
        <v>51</v>
      </c>
      <c r="C134" t="s">
        <v>52</v>
      </c>
      <c r="D134" t="s">
        <v>53</v>
      </c>
      <c r="E134" t="s">
        <v>44</v>
      </c>
      <c r="F134">
        <v>10218</v>
      </c>
      <c r="G134" t="s">
        <v>10</v>
      </c>
      <c r="H134">
        <v>15000</v>
      </c>
      <c r="I134">
        <f t="shared" si="2"/>
        <v>0</v>
      </c>
      <c r="J134" s="5">
        <f>(Sales_data[[#This Row],[Sales Amount]]-Sales_data[[#This Row],[TARGET]])</f>
        <v>-4782</v>
      </c>
    </row>
    <row r="135" spans="1:10" x14ac:dyDescent="0.3">
      <c r="A135" s="2">
        <v>45741</v>
      </c>
      <c r="B135" s="1" t="s">
        <v>51</v>
      </c>
      <c r="C135" t="s">
        <v>52</v>
      </c>
      <c r="D135" t="s">
        <v>53</v>
      </c>
      <c r="E135" t="s">
        <v>44</v>
      </c>
      <c r="F135">
        <v>10573.5</v>
      </c>
      <c r="G135" t="s">
        <v>9</v>
      </c>
      <c r="H135">
        <v>15000</v>
      </c>
      <c r="I135">
        <f t="shared" si="2"/>
        <v>0</v>
      </c>
      <c r="J135" s="5">
        <f>(Sales_data[[#This Row],[Sales Amount]]-Sales_data[[#This Row],[TARGET]])</f>
        <v>-4426.5</v>
      </c>
    </row>
    <row r="136" spans="1:10" x14ac:dyDescent="0.3">
      <c r="A136" s="2">
        <v>45741</v>
      </c>
      <c r="B136" s="1" t="s">
        <v>41</v>
      </c>
      <c r="C136" t="s">
        <v>42</v>
      </c>
      <c r="D136" t="s">
        <v>43</v>
      </c>
      <c r="E136" t="s">
        <v>44</v>
      </c>
      <c r="F136">
        <v>10903.2</v>
      </c>
      <c r="G136" t="s">
        <v>10</v>
      </c>
      <c r="H136">
        <v>15000</v>
      </c>
      <c r="I136">
        <f t="shared" si="2"/>
        <v>0</v>
      </c>
      <c r="J136" s="5">
        <f>(Sales_data[[#This Row],[Sales Amount]]-Sales_data[[#This Row],[TARGET]])</f>
        <v>-4096.7999999999993</v>
      </c>
    </row>
    <row r="137" spans="1:10" x14ac:dyDescent="0.3">
      <c r="A137" s="2">
        <v>45741</v>
      </c>
      <c r="B137" s="1" t="s">
        <v>54</v>
      </c>
      <c r="C137" t="s">
        <v>55</v>
      </c>
      <c r="D137" t="s">
        <v>56</v>
      </c>
      <c r="E137" t="s">
        <v>44</v>
      </c>
      <c r="F137">
        <v>10948</v>
      </c>
      <c r="G137" t="s">
        <v>9</v>
      </c>
      <c r="H137">
        <v>15000</v>
      </c>
      <c r="I137">
        <f t="shared" si="2"/>
        <v>0</v>
      </c>
      <c r="J137" s="5">
        <f>(Sales_data[[#This Row],[Sales Amount]]-Sales_data[[#This Row],[TARGET]])</f>
        <v>-4052</v>
      </c>
    </row>
    <row r="138" spans="1:10" x14ac:dyDescent="0.3">
      <c r="A138" s="2">
        <v>45741</v>
      </c>
      <c r="B138" s="1" t="s">
        <v>51</v>
      </c>
      <c r="C138" t="s">
        <v>52</v>
      </c>
      <c r="D138" t="s">
        <v>53</v>
      </c>
      <c r="E138" t="s">
        <v>44</v>
      </c>
      <c r="F138">
        <v>11166.3</v>
      </c>
      <c r="G138" t="s">
        <v>10</v>
      </c>
      <c r="H138">
        <v>15000</v>
      </c>
      <c r="I138">
        <f t="shared" si="2"/>
        <v>0</v>
      </c>
      <c r="J138" s="5">
        <f>(Sales_data[[#This Row],[Sales Amount]]-Sales_data[[#This Row],[TARGET]])</f>
        <v>-3833.7000000000007</v>
      </c>
    </row>
    <row r="139" spans="1:10" x14ac:dyDescent="0.3">
      <c r="A139" s="2">
        <v>45741</v>
      </c>
      <c r="B139" s="1" t="s">
        <v>45</v>
      </c>
      <c r="C139" t="s">
        <v>46</v>
      </c>
      <c r="D139" t="s">
        <v>47</v>
      </c>
      <c r="E139" t="s">
        <v>44</v>
      </c>
      <c r="F139">
        <v>11403</v>
      </c>
      <c r="G139" t="s">
        <v>10</v>
      </c>
      <c r="H139">
        <v>15000</v>
      </c>
      <c r="I139">
        <f t="shared" si="2"/>
        <v>0</v>
      </c>
      <c r="J139" s="5">
        <f>(Sales_data[[#This Row],[Sales Amount]]-Sales_data[[#This Row],[TARGET]])</f>
        <v>-3597</v>
      </c>
    </row>
    <row r="140" spans="1:10" x14ac:dyDescent="0.3">
      <c r="A140" s="2">
        <v>45741</v>
      </c>
      <c r="B140" s="1" t="s">
        <v>45</v>
      </c>
      <c r="C140" t="s">
        <v>46</v>
      </c>
      <c r="D140" t="s">
        <v>47</v>
      </c>
      <c r="E140" t="s">
        <v>44</v>
      </c>
      <c r="F140">
        <v>11554.4</v>
      </c>
      <c r="G140" t="s">
        <v>10</v>
      </c>
      <c r="H140">
        <v>15000</v>
      </c>
      <c r="I140">
        <f t="shared" si="2"/>
        <v>0</v>
      </c>
      <c r="J140" s="5">
        <f>(Sales_data[[#This Row],[Sales Amount]]-Sales_data[[#This Row],[TARGET]])</f>
        <v>-3445.6000000000004</v>
      </c>
    </row>
    <row r="141" spans="1:10" x14ac:dyDescent="0.3">
      <c r="A141" s="2">
        <v>45741</v>
      </c>
      <c r="B141" s="1" t="s">
        <v>62</v>
      </c>
      <c r="C141" t="s">
        <v>13</v>
      </c>
      <c r="D141" t="s">
        <v>63</v>
      </c>
      <c r="E141" t="s">
        <v>8</v>
      </c>
      <c r="F141">
        <v>10391.700000000001</v>
      </c>
      <c r="G141" t="s">
        <v>12</v>
      </c>
      <c r="H141">
        <v>15000</v>
      </c>
      <c r="I141">
        <f t="shared" si="2"/>
        <v>0</v>
      </c>
      <c r="J141" s="5">
        <f>(Sales_data[[#This Row],[Sales Amount]]-Sales_data[[#This Row],[TARGET]])</f>
        <v>-4608.2999999999993</v>
      </c>
    </row>
    <row r="142" spans="1:10" x14ac:dyDescent="0.3">
      <c r="A142" s="2">
        <v>45741</v>
      </c>
      <c r="B142" s="1" t="s">
        <v>57</v>
      </c>
      <c r="C142" t="s">
        <v>58</v>
      </c>
      <c r="D142" t="s">
        <v>59</v>
      </c>
      <c r="E142" t="s">
        <v>8</v>
      </c>
      <c r="F142">
        <v>10451.200000000001</v>
      </c>
      <c r="G142" t="s">
        <v>9</v>
      </c>
      <c r="H142">
        <v>15000</v>
      </c>
      <c r="I142">
        <f t="shared" si="2"/>
        <v>0</v>
      </c>
      <c r="J142" s="5">
        <f>(Sales_data[[#This Row],[Sales Amount]]-Sales_data[[#This Row],[TARGET]])</f>
        <v>-4548.7999999999993</v>
      </c>
    </row>
    <row r="143" spans="1:10" x14ac:dyDescent="0.3">
      <c r="A143" s="2">
        <v>45741</v>
      </c>
      <c r="B143" s="1" t="s">
        <v>64</v>
      </c>
      <c r="C143" t="s">
        <v>11</v>
      </c>
      <c r="D143" t="s">
        <v>65</v>
      </c>
      <c r="E143" t="s">
        <v>8</v>
      </c>
      <c r="F143">
        <v>10595.2</v>
      </c>
      <c r="G143" t="s">
        <v>12</v>
      </c>
      <c r="H143">
        <v>15000</v>
      </c>
      <c r="I143">
        <f t="shared" si="2"/>
        <v>0</v>
      </c>
      <c r="J143" s="5">
        <f>(Sales_data[[#This Row],[Sales Amount]]-Sales_data[[#This Row],[TARGET]])</f>
        <v>-4404.7999999999993</v>
      </c>
    </row>
    <row r="144" spans="1:10" x14ac:dyDescent="0.3">
      <c r="A144" s="2">
        <v>45741</v>
      </c>
      <c r="B144" s="1" t="s">
        <v>62</v>
      </c>
      <c r="C144" t="s">
        <v>13</v>
      </c>
      <c r="D144" t="s">
        <v>63</v>
      </c>
      <c r="E144" t="s">
        <v>8</v>
      </c>
      <c r="F144">
        <v>10649</v>
      </c>
      <c r="G144" t="s">
        <v>12</v>
      </c>
      <c r="H144">
        <v>15000</v>
      </c>
      <c r="I144">
        <f t="shared" si="2"/>
        <v>0</v>
      </c>
      <c r="J144" s="5">
        <f>(Sales_data[[#This Row],[Sales Amount]]-Sales_data[[#This Row],[TARGET]])</f>
        <v>-4351</v>
      </c>
    </row>
    <row r="145" spans="1:10" x14ac:dyDescent="0.3">
      <c r="A145" s="2">
        <v>45741</v>
      </c>
      <c r="B145" s="1" t="s">
        <v>64</v>
      </c>
      <c r="C145" t="s">
        <v>11</v>
      </c>
      <c r="D145" t="s">
        <v>65</v>
      </c>
      <c r="E145" t="s">
        <v>8</v>
      </c>
      <c r="F145">
        <v>10679.4</v>
      </c>
      <c r="G145" t="s">
        <v>12</v>
      </c>
      <c r="H145">
        <v>15000</v>
      </c>
      <c r="I145">
        <f t="shared" si="2"/>
        <v>0</v>
      </c>
      <c r="J145" s="5">
        <f>(Sales_data[[#This Row],[Sales Amount]]-Sales_data[[#This Row],[TARGET]])</f>
        <v>-4320.6000000000004</v>
      </c>
    </row>
    <row r="146" spans="1:10" x14ac:dyDescent="0.3">
      <c r="A146" s="2">
        <v>45741</v>
      </c>
      <c r="B146" s="1" t="s">
        <v>60</v>
      </c>
      <c r="C146" t="s">
        <v>14</v>
      </c>
      <c r="D146" t="s">
        <v>61</v>
      </c>
      <c r="E146" t="s">
        <v>8</v>
      </c>
      <c r="F146">
        <v>10694.7</v>
      </c>
      <c r="G146" t="s">
        <v>12</v>
      </c>
      <c r="H146">
        <v>15000</v>
      </c>
      <c r="I146">
        <f t="shared" si="2"/>
        <v>0</v>
      </c>
      <c r="J146" s="5">
        <f>(Sales_data[[#This Row],[Sales Amount]]-Sales_data[[#This Row],[TARGET]])</f>
        <v>-4305.2999999999993</v>
      </c>
    </row>
    <row r="147" spans="1:10" x14ac:dyDescent="0.3">
      <c r="A147" s="2">
        <v>45741</v>
      </c>
      <c r="B147" s="1" t="s">
        <v>66</v>
      </c>
      <c r="C147" t="s">
        <v>7</v>
      </c>
      <c r="D147" t="s">
        <v>67</v>
      </c>
      <c r="E147" t="s">
        <v>8</v>
      </c>
      <c r="F147">
        <v>11155.5</v>
      </c>
      <c r="G147" t="s">
        <v>9</v>
      </c>
      <c r="H147">
        <v>15000</v>
      </c>
      <c r="I147">
        <f t="shared" si="2"/>
        <v>0</v>
      </c>
      <c r="J147" s="5">
        <f>(Sales_data[[#This Row],[Sales Amount]]-Sales_data[[#This Row],[TARGET]])</f>
        <v>-3844.5</v>
      </c>
    </row>
    <row r="148" spans="1:10" x14ac:dyDescent="0.3">
      <c r="A148" s="2">
        <v>45768</v>
      </c>
      <c r="B148" s="1" t="s">
        <v>32</v>
      </c>
      <c r="C148" t="s">
        <v>33</v>
      </c>
      <c r="D148" t="s">
        <v>34</v>
      </c>
      <c r="E148" t="s">
        <v>31</v>
      </c>
      <c r="F148">
        <v>12306.6</v>
      </c>
      <c r="G148" t="s">
        <v>10</v>
      </c>
      <c r="H148">
        <v>15000</v>
      </c>
      <c r="I148">
        <f t="shared" si="2"/>
        <v>0</v>
      </c>
      <c r="J148" s="5">
        <f>(Sales_data[[#This Row],[Sales Amount]]-Sales_data[[#This Row],[TARGET]])</f>
        <v>-2693.3999999999996</v>
      </c>
    </row>
    <row r="149" spans="1:10" x14ac:dyDescent="0.3">
      <c r="A149" s="2">
        <v>45768</v>
      </c>
      <c r="B149" s="1" t="s">
        <v>32</v>
      </c>
      <c r="C149" t="s">
        <v>33</v>
      </c>
      <c r="D149" t="s">
        <v>34</v>
      </c>
      <c r="E149" t="s">
        <v>31</v>
      </c>
      <c r="F149">
        <v>12944.4</v>
      </c>
      <c r="G149" t="s">
        <v>10</v>
      </c>
      <c r="H149">
        <v>15000</v>
      </c>
      <c r="I149">
        <f t="shared" si="2"/>
        <v>0</v>
      </c>
      <c r="J149" s="5">
        <f>(Sales_data[[#This Row],[Sales Amount]]-Sales_data[[#This Row],[TARGET]])</f>
        <v>-2055.6000000000004</v>
      </c>
    </row>
    <row r="150" spans="1:10" x14ac:dyDescent="0.3">
      <c r="A150" s="2">
        <v>45768</v>
      </c>
      <c r="B150" s="1" t="s">
        <v>28</v>
      </c>
      <c r="C150" t="s">
        <v>29</v>
      </c>
      <c r="D150" t="s">
        <v>30</v>
      </c>
      <c r="E150" t="s">
        <v>31</v>
      </c>
      <c r="F150">
        <v>13310.4</v>
      </c>
      <c r="G150" t="s">
        <v>9</v>
      </c>
      <c r="H150">
        <v>15000</v>
      </c>
      <c r="I150">
        <f t="shared" si="2"/>
        <v>0</v>
      </c>
      <c r="J150" s="5">
        <f>(Sales_data[[#This Row],[Sales Amount]]-Sales_data[[#This Row],[TARGET]])</f>
        <v>-1689.6000000000004</v>
      </c>
    </row>
    <row r="151" spans="1:10" x14ac:dyDescent="0.3">
      <c r="A151" s="2">
        <v>45768</v>
      </c>
      <c r="B151" s="1" t="s">
        <v>35</v>
      </c>
      <c r="C151" t="s">
        <v>36</v>
      </c>
      <c r="D151" t="s">
        <v>37</v>
      </c>
      <c r="E151" t="s">
        <v>31</v>
      </c>
      <c r="F151">
        <v>13467</v>
      </c>
      <c r="G151" t="s">
        <v>12</v>
      </c>
      <c r="H151">
        <v>15000</v>
      </c>
      <c r="I151">
        <f t="shared" si="2"/>
        <v>0</v>
      </c>
      <c r="J151" s="5">
        <f>(Sales_data[[#This Row],[Sales Amount]]-Sales_data[[#This Row],[TARGET]])</f>
        <v>-1533</v>
      </c>
    </row>
    <row r="152" spans="1:10" x14ac:dyDescent="0.3">
      <c r="A152" s="2">
        <v>45768</v>
      </c>
      <c r="B152" s="1" t="s">
        <v>35</v>
      </c>
      <c r="C152" t="s">
        <v>36</v>
      </c>
      <c r="D152" t="s">
        <v>37</v>
      </c>
      <c r="E152" t="s">
        <v>31</v>
      </c>
      <c r="F152">
        <v>13479.4</v>
      </c>
      <c r="G152" t="s">
        <v>12</v>
      </c>
      <c r="H152">
        <v>15000</v>
      </c>
      <c r="I152">
        <f t="shared" si="2"/>
        <v>0</v>
      </c>
      <c r="J152" s="5">
        <f>(Sales_data[[#This Row],[Sales Amount]]-Sales_data[[#This Row],[TARGET]])</f>
        <v>-1520.6000000000004</v>
      </c>
    </row>
    <row r="153" spans="1:10" x14ac:dyDescent="0.3">
      <c r="A153" s="2">
        <v>45768</v>
      </c>
      <c r="B153" s="1" t="s">
        <v>32</v>
      </c>
      <c r="C153" t="s">
        <v>33</v>
      </c>
      <c r="D153" t="s">
        <v>34</v>
      </c>
      <c r="E153" t="s">
        <v>31</v>
      </c>
      <c r="F153">
        <v>14089.2</v>
      </c>
      <c r="G153" t="s">
        <v>10</v>
      </c>
      <c r="H153">
        <v>15000</v>
      </c>
      <c r="I153">
        <f t="shared" si="2"/>
        <v>0</v>
      </c>
      <c r="J153" s="5">
        <f>(Sales_data[[#This Row],[Sales Amount]]-Sales_data[[#This Row],[TARGET]])</f>
        <v>-910.79999999999927</v>
      </c>
    </row>
    <row r="154" spans="1:10" x14ac:dyDescent="0.3">
      <c r="A154" s="2">
        <v>45768</v>
      </c>
      <c r="B154" s="1" t="s">
        <v>28</v>
      </c>
      <c r="C154" t="s">
        <v>29</v>
      </c>
      <c r="D154" t="s">
        <v>30</v>
      </c>
      <c r="E154" t="s">
        <v>31</v>
      </c>
      <c r="F154">
        <v>14248</v>
      </c>
      <c r="G154" t="s">
        <v>10</v>
      </c>
      <c r="H154">
        <v>15000</v>
      </c>
      <c r="I154">
        <f t="shared" si="2"/>
        <v>0</v>
      </c>
      <c r="J154" s="5">
        <f>(Sales_data[[#This Row],[Sales Amount]]-Sales_data[[#This Row],[TARGET]])</f>
        <v>-752</v>
      </c>
    </row>
    <row r="155" spans="1:10" x14ac:dyDescent="0.3">
      <c r="A155" s="2">
        <v>45768</v>
      </c>
      <c r="B155" s="1" t="s">
        <v>38</v>
      </c>
      <c r="C155" t="s">
        <v>39</v>
      </c>
      <c r="D155" t="s">
        <v>40</v>
      </c>
      <c r="E155" t="s">
        <v>31</v>
      </c>
      <c r="F155">
        <v>14301.6</v>
      </c>
      <c r="G155" t="s">
        <v>12</v>
      </c>
      <c r="H155">
        <v>15000</v>
      </c>
      <c r="I155">
        <f t="shared" si="2"/>
        <v>0</v>
      </c>
      <c r="J155" s="5">
        <f>(Sales_data[[#This Row],[Sales Amount]]-Sales_data[[#This Row],[TARGET]])</f>
        <v>-698.39999999999964</v>
      </c>
    </row>
    <row r="156" spans="1:10" x14ac:dyDescent="0.3">
      <c r="A156" s="2">
        <v>45768</v>
      </c>
      <c r="B156" s="1" t="s">
        <v>41</v>
      </c>
      <c r="C156" t="s">
        <v>42</v>
      </c>
      <c r="D156" t="s">
        <v>43</v>
      </c>
      <c r="E156" t="s">
        <v>44</v>
      </c>
      <c r="F156">
        <v>12144</v>
      </c>
      <c r="G156" t="s">
        <v>10</v>
      </c>
      <c r="H156">
        <v>15000</v>
      </c>
      <c r="I156">
        <f t="shared" si="2"/>
        <v>0</v>
      </c>
      <c r="J156" s="5">
        <f>(Sales_data[[#This Row],[Sales Amount]]-Sales_data[[#This Row],[TARGET]])</f>
        <v>-2856</v>
      </c>
    </row>
    <row r="157" spans="1:10" x14ac:dyDescent="0.3">
      <c r="A157" s="2">
        <v>45768</v>
      </c>
      <c r="B157" s="1" t="s">
        <v>54</v>
      </c>
      <c r="C157" t="s">
        <v>55</v>
      </c>
      <c r="D157" t="s">
        <v>56</v>
      </c>
      <c r="E157" t="s">
        <v>44</v>
      </c>
      <c r="F157">
        <v>12328</v>
      </c>
      <c r="G157" t="s">
        <v>10</v>
      </c>
      <c r="H157">
        <v>15000</v>
      </c>
      <c r="I157">
        <f t="shared" si="2"/>
        <v>0</v>
      </c>
      <c r="J157" s="5">
        <f>(Sales_data[[#This Row],[Sales Amount]]-Sales_data[[#This Row],[TARGET]])</f>
        <v>-2672</v>
      </c>
    </row>
    <row r="158" spans="1:10" x14ac:dyDescent="0.3">
      <c r="A158" s="2">
        <v>45768</v>
      </c>
      <c r="B158" s="1" t="s">
        <v>51</v>
      </c>
      <c r="C158" t="s">
        <v>52</v>
      </c>
      <c r="D158" t="s">
        <v>53</v>
      </c>
      <c r="E158" t="s">
        <v>44</v>
      </c>
      <c r="F158">
        <v>13044.9</v>
      </c>
      <c r="G158" t="s">
        <v>9</v>
      </c>
      <c r="H158">
        <v>15000</v>
      </c>
      <c r="I158">
        <f t="shared" si="2"/>
        <v>0</v>
      </c>
      <c r="J158" s="5">
        <f>(Sales_data[[#This Row],[Sales Amount]]-Sales_data[[#This Row],[TARGET]])</f>
        <v>-1955.1000000000004</v>
      </c>
    </row>
    <row r="159" spans="1:10" x14ac:dyDescent="0.3">
      <c r="A159" s="2">
        <v>45768</v>
      </c>
      <c r="B159" s="1" t="s">
        <v>48</v>
      </c>
      <c r="C159" t="s">
        <v>49</v>
      </c>
      <c r="D159" t="s">
        <v>50</v>
      </c>
      <c r="E159" t="s">
        <v>44</v>
      </c>
      <c r="F159">
        <v>13230</v>
      </c>
      <c r="G159" t="s">
        <v>10</v>
      </c>
      <c r="H159">
        <v>15000</v>
      </c>
      <c r="I159">
        <f t="shared" si="2"/>
        <v>0</v>
      </c>
      <c r="J159" s="5">
        <f>(Sales_data[[#This Row],[Sales Amount]]-Sales_data[[#This Row],[TARGET]])</f>
        <v>-1770</v>
      </c>
    </row>
    <row r="160" spans="1:10" x14ac:dyDescent="0.3">
      <c r="A160" s="2">
        <v>45768</v>
      </c>
      <c r="B160" s="1" t="s">
        <v>41</v>
      </c>
      <c r="C160" t="s">
        <v>42</v>
      </c>
      <c r="D160" t="s">
        <v>43</v>
      </c>
      <c r="E160" t="s">
        <v>44</v>
      </c>
      <c r="F160">
        <v>13244.7</v>
      </c>
      <c r="G160" t="s">
        <v>9</v>
      </c>
      <c r="H160">
        <v>15000</v>
      </c>
      <c r="I160">
        <f t="shared" si="2"/>
        <v>0</v>
      </c>
      <c r="J160" s="5">
        <f>(Sales_data[[#This Row],[Sales Amount]]-Sales_data[[#This Row],[TARGET]])</f>
        <v>-1755.2999999999993</v>
      </c>
    </row>
    <row r="161" spans="1:10" x14ac:dyDescent="0.3">
      <c r="A161" s="2">
        <v>45768</v>
      </c>
      <c r="B161" s="1" t="s">
        <v>54</v>
      </c>
      <c r="C161" t="s">
        <v>55</v>
      </c>
      <c r="D161" t="s">
        <v>56</v>
      </c>
      <c r="E161" t="s">
        <v>44</v>
      </c>
      <c r="F161">
        <v>13674</v>
      </c>
      <c r="G161" t="s">
        <v>10</v>
      </c>
      <c r="H161">
        <v>15000</v>
      </c>
      <c r="I161">
        <f t="shared" si="2"/>
        <v>0</v>
      </c>
      <c r="J161" s="5">
        <f>(Sales_data[[#This Row],[Sales Amount]]-Sales_data[[#This Row],[TARGET]])</f>
        <v>-1326</v>
      </c>
    </row>
    <row r="162" spans="1:10" x14ac:dyDescent="0.3">
      <c r="A162" s="2">
        <v>45768</v>
      </c>
      <c r="B162" s="1" t="s">
        <v>45</v>
      </c>
      <c r="C162" t="s">
        <v>46</v>
      </c>
      <c r="D162" t="s">
        <v>47</v>
      </c>
      <c r="E162" t="s">
        <v>44</v>
      </c>
      <c r="F162">
        <v>13725.6</v>
      </c>
      <c r="G162" t="s">
        <v>12</v>
      </c>
      <c r="H162">
        <v>15000</v>
      </c>
      <c r="I162">
        <f t="shared" si="2"/>
        <v>0</v>
      </c>
      <c r="J162" s="5">
        <f>(Sales_data[[#This Row],[Sales Amount]]-Sales_data[[#This Row],[TARGET]])</f>
        <v>-1274.3999999999996</v>
      </c>
    </row>
    <row r="163" spans="1:10" x14ac:dyDescent="0.3">
      <c r="A163" s="2">
        <v>45768</v>
      </c>
      <c r="B163" s="1" t="s">
        <v>41</v>
      </c>
      <c r="C163" t="s">
        <v>42</v>
      </c>
      <c r="D163" t="s">
        <v>43</v>
      </c>
      <c r="E163" t="s">
        <v>44</v>
      </c>
      <c r="F163">
        <v>13923</v>
      </c>
      <c r="G163" t="s">
        <v>12</v>
      </c>
      <c r="H163">
        <v>15000</v>
      </c>
      <c r="I163">
        <f t="shared" si="2"/>
        <v>0</v>
      </c>
      <c r="J163" s="5">
        <f>(Sales_data[[#This Row],[Sales Amount]]-Sales_data[[#This Row],[TARGET]])</f>
        <v>-1077</v>
      </c>
    </row>
    <row r="164" spans="1:10" x14ac:dyDescent="0.3">
      <c r="A164" s="2">
        <v>45768</v>
      </c>
      <c r="B164" s="1" t="s">
        <v>22</v>
      </c>
      <c r="C164" t="s">
        <v>23</v>
      </c>
      <c r="D164" t="s">
        <v>24</v>
      </c>
      <c r="E164" t="s">
        <v>18</v>
      </c>
      <c r="F164">
        <v>12422.2</v>
      </c>
      <c r="G164" t="s">
        <v>12</v>
      </c>
      <c r="H164">
        <v>15000</v>
      </c>
      <c r="I164">
        <f t="shared" si="2"/>
        <v>0</v>
      </c>
      <c r="J164" s="5">
        <f>(Sales_data[[#This Row],[Sales Amount]]-Sales_data[[#This Row],[TARGET]])</f>
        <v>-2577.7999999999993</v>
      </c>
    </row>
    <row r="165" spans="1:10" x14ac:dyDescent="0.3">
      <c r="A165" s="2">
        <v>45768</v>
      </c>
      <c r="B165" s="1" t="s">
        <v>22</v>
      </c>
      <c r="C165" t="s">
        <v>23</v>
      </c>
      <c r="D165" t="s">
        <v>24</v>
      </c>
      <c r="E165" t="s">
        <v>18</v>
      </c>
      <c r="F165">
        <v>12633.6</v>
      </c>
      <c r="G165" t="s">
        <v>10</v>
      </c>
      <c r="H165">
        <v>15000</v>
      </c>
      <c r="I165">
        <f t="shared" si="2"/>
        <v>0</v>
      </c>
      <c r="J165" s="5">
        <f>(Sales_data[[#This Row],[Sales Amount]]-Sales_data[[#This Row],[TARGET]])</f>
        <v>-2366.3999999999996</v>
      </c>
    </row>
    <row r="166" spans="1:10" x14ac:dyDescent="0.3">
      <c r="A166" s="2">
        <v>45768</v>
      </c>
      <c r="B166" s="1" t="s">
        <v>25</v>
      </c>
      <c r="C166" t="s">
        <v>26</v>
      </c>
      <c r="D166" t="s">
        <v>27</v>
      </c>
      <c r="E166" t="s">
        <v>18</v>
      </c>
      <c r="F166">
        <v>12765.2</v>
      </c>
      <c r="G166" t="s">
        <v>12</v>
      </c>
      <c r="H166">
        <v>15000</v>
      </c>
      <c r="I166">
        <f t="shared" si="2"/>
        <v>0</v>
      </c>
      <c r="J166" s="5">
        <f>(Sales_data[[#This Row],[Sales Amount]]-Sales_data[[#This Row],[TARGET]])</f>
        <v>-2234.7999999999993</v>
      </c>
    </row>
    <row r="167" spans="1:10" x14ac:dyDescent="0.3">
      <c r="A167" s="2">
        <v>45768</v>
      </c>
      <c r="B167" s="1" t="s">
        <v>25</v>
      </c>
      <c r="C167" t="s">
        <v>26</v>
      </c>
      <c r="D167" t="s">
        <v>27</v>
      </c>
      <c r="E167" t="s">
        <v>18</v>
      </c>
      <c r="F167">
        <v>12806.4</v>
      </c>
      <c r="G167" t="s">
        <v>12</v>
      </c>
      <c r="H167">
        <v>15000</v>
      </c>
      <c r="I167">
        <f t="shared" si="2"/>
        <v>0</v>
      </c>
      <c r="J167" s="5">
        <f>(Sales_data[[#This Row],[Sales Amount]]-Sales_data[[#This Row],[TARGET]])</f>
        <v>-2193.6000000000004</v>
      </c>
    </row>
    <row r="168" spans="1:10" x14ac:dyDescent="0.3">
      <c r="A168" s="2">
        <v>45768</v>
      </c>
      <c r="B168" s="1" t="s">
        <v>22</v>
      </c>
      <c r="C168" t="s">
        <v>23</v>
      </c>
      <c r="D168" t="s">
        <v>24</v>
      </c>
      <c r="E168" t="s">
        <v>18</v>
      </c>
      <c r="F168">
        <v>13797</v>
      </c>
      <c r="G168" t="s">
        <v>9</v>
      </c>
      <c r="H168">
        <v>15000</v>
      </c>
      <c r="I168">
        <f t="shared" si="2"/>
        <v>0</v>
      </c>
      <c r="J168" s="5">
        <f>(Sales_data[[#This Row],[Sales Amount]]-Sales_data[[#This Row],[TARGET]])</f>
        <v>-1203</v>
      </c>
    </row>
    <row r="169" spans="1:10" x14ac:dyDescent="0.3">
      <c r="A169" s="2">
        <v>45768</v>
      </c>
      <c r="B169" s="1" t="s">
        <v>68</v>
      </c>
      <c r="C169" t="s">
        <v>69</v>
      </c>
      <c r="D169" t="s">
        <v>70</v>
      </c>
      <c r="E169" t="s">
        <v>18</v>
      </c>
      <c r="F169">
        <v>14063</v>
      </c>
      <c r="G169" t="s">
        <v>10</v>
      </c>
      <c r="H169">
        <v>15000</v>
      </c>
      <c r="I169">
        <f t="shared" si="2"/>
        <v>0</v>
      </c>
      <c r="J169" s="5">
        <f>(Sales_data[[#This Row],[Sales Amount]]-Sales_data[[#This Row],[TARGET]])</f>
        <v>-937</v>
      </c>
    </row>
    <row r="170" spans="1:10" x14ac:dyDescent="0.3">
      <c r="A170" s="2">
        <v>45768</v>
      </c>
      <c r="B170" s="1" t="s">
        <v>22</v>
      </c>
      <c r="C170" t="s">
        <v>23</v>
      </c>
      <c r="D170" t="s">
        <v>24</v>
      </c>
      <c r="E170" t="s">
        <v>18</v>
      </c>
      <c r="F170">
        <v>14608.3</v>
      </c>
      <c r="G170" t="s">
        <v>9</v>
      </c>
      <c r="H170">
        <v>15000</v>
      </c>
      <c r="I170">
        <f t="shared" si="2"/>
        <v>0</v>
      </c>
      <c r="J170" s="5">
        <f>(Sales_data[[#This Row],[Sales Amount]]-Sales_data[[#This Row],[TARGET]])</f>
        <v>-391.70000000000073</v>
      </c>
    </row>
    <row r="171" spans="1:10" x14ac:dyDescent="0.3">
      <c r="A171" s="2">
        <v>45768</v>
      </c>
      <c r="B171" s="1" t="s">
        <v>68</v>
      </c>
      <c r="C171" t="s">
        <v>69</v>
      </c>
      <c r="D171" t="s">
        <v>70</v>
      </c>
      <c r="E171" t="s">
        <v>18</v>
      </c>
      <c r="F171">
        <v>14670</v>
      </c>
      <c r="G171" t="s">
        <v>9</v>
      </c>
      <c r="H171">
        <v>15000</v>
      </c>
      <c r="I171">
        <f t="shared" si="2"/>
        <v>0</v>
      </c>
      <c r="J171" s="5">
        <f>(Sales_data[[#This Row],[Sales Amount]]-Sales_data[[#This Row],[TARGET]])</f>
        <v>-330</v>
      </c>
    </row>
    <row r="172" spans="1:10" x14ac:dyDescent="0.3">
      <c r="A172" s="2">
        <v>45768</v>
      </c>
      <c r="B172" s="1" t="s">
        <v>62</v>
      </c>
      <c r="C172" t="s">
        <v>13</v>
      </c>
      <c r="D172" t="s">
        <v>63</v>
      </c>
      <c r="E172" t="s">
        <v>8</v>
      </c>
      <c r="F172">
        <v>11543</v>
      </c>
      <c r="G172" t="s">
        <v>9</v>
      </c>
      <c r="H172">
        <v>15000</v>
      </c>
      <c r="I172">
        <f t="shared" si="2"/>
        <v>0</v>
      </c>
      <c r="J172" s="5">
        <f>(Sales_data[[#This Row],[Sales Amount]]-Sales_data[[#This Row],[TARGET]])</f>
        <v>-3457</v>
      </c>
    </row>
    <row r="173" spans="1:10" x14ac:dyDescent="0.3">
      <c r="A173" s="2">
        <v>45768</v>
      </c>
      <c r="B173" s="1" t="s">
        <v>57</v>
      </c>
      <c r="C173" t="s">
        <v>58</v>
      </c>
      <c r="D173" t="s">
        <v>59</v>
      </c>
      <c r="E173" t="s">
        <v>8</v>
      </c>
      <c r="F173">
        <v>11580.4</v>
      </c>
      <c r="G173" t="s">
        <v>10</v>
      </c>
      <c r="H173">
        <v>15000</v>
      </c>
      <c r="I173">
        <f t="shared" si="2"/>
        <v>0</v>
      </c>
      <c r="J173" s="5">
        <f>(Sales_data[[#This Row],[Sales Amount]]-Sales_data[[#This Row],[TARGET]])</f>
        <v>-3419.6000000000004</v>
      </c>
    </row>
    <row r="174" spans="1:10" x14ac:dyDescent="0.3">
      <c r="A174" s="2">
        <v>45768</v>
      </c>
      <c r="B174" s="1" t="s">
        <v>57</v>
      </c>
      <c r="C174" t="s">
        <v>58</v>
      </c>
      <c r="D174" t="s">
        <v>59</v>
      </c>
      <c r="E174" t="s">
        <v>8</v>
      </c>
      <c r="F174">
        <v>11716.5</v>
      </c>
      <c r="G174" t="s">
        <v>9</v>
      </c>
      <c r="H174">
        <v>15000</v>
      </c>
      <c r="I174">
        <f t="shared" si="2"/>
        <v>0</v>
      </c>
      <c r="J174" s="5">
        <f>(Sales_data[[#This Row],[Sales Amount]]-Sales_data[[#This Row],[TARGET]])</f>
        <v>-3283.5</v>
      </c>
    </row>
    <row r="175" spans="1:10" x14ac:dyDescent="0.3">
      <c r="A175" s="2">
        <v>45768</v>
      </c>
      <c r="B175" s="1" t="s">
        <v>64</v>
      </c>
      <c r="C175" t="s">
        <v>11</v>
      </c>
      <c r="D175" t="s">
        <v>65</v>
      </c>
      <c r="E175" t="s">
        <v>8</v>
      </c>
      <c r="F175">
        <v>14235.4</v>
      </c>
      <c r="G175" t="s">
        <v>12</v>
      </c>
      <c r="H175">
        <v>15000</v>
      </c>
      <c r="I175">
        <f t="shared" si="2"/>
        <v>0</v>
      </c>
      <c r="J175" s="5">
        <f>(Sales_data[[#This Row],[Sales Amount]]-Sales_data[[#This Row],[TARGET]])</f>
        <v>-764.60000000000036</v>
      </c>
    </row>
    <row r="176" spans="1:10" x14ac:dyDescent="0.3">
      <c r="A176" s="2">
        <v>45768</v>
      </c>
      <c r="B176" s="1" t="s">
        <v>62</v>
      </c>
      <c r="C176" t="s">
        <v>13</v>
      </c>
      <c r="D176" t="s">
        <v>63</v>
      </c>
      <c r="E176" t="s">
        <v>8</v>
      </c>
      <c r="F176">
        <v>14301.6</v>
      </c>
      <c r="G176" t="s">
        <v>10</v>
      </c>
      <c r="H176">
        <v>15000</v>
      </c>
      <c r="I176">
        <f t="shared" si="2"/>
        <v>0</v>
      </c>
      <c r="J176" s="5">
        <f>(Sales_data[[#This Row],[Sales Amount]]-Sales_data[[#This Row],[TARGET]])</f>
        <v>-698.39999999999964</v>
      </c>
    </row>
    <row r="177" spans="1:10" x14ac:dyDescent="0.3">
      <c r="A177" s="2">
        <v>45768</v>
      </c>
      <c r="B177" s="1" t="s">
        <v>62</v>
      </c>
      <c r="C177" t="s">
        <v>13</v>
      </c>
      <c r="D177" t="s">
        <v>63</v>
      </c>
      <c r="E177" t="s">
        <v>8</v>
      </c>
      <c r="F177">
        <v>14302.9</v>
      </c>
      <c r="G177" t="s">
        <v>9</v>
      </c>
      <c r="H177">
        <v>15000</v>
      </c>
      <c r="I177">
        <f t="shared" si="2"/>
        <v>0</v>
      </c>
      <c r="J177" s="5">
        <f>(Sales_data[[#This Row],[Sales Amount]]-Sales_data[[#This Row],[TARGET]])</f>
        <v>-697.10000000000036</v>
      </c>
    </row>
    <row r="178" spans="1:10" x14ac:dyDescent="0.3">
      <c r="A178" s="2">
        <v>45772</v>
      </c>
      <c r="B178" s="1" t="s">
        <v>38</v>
      </c>
      <c r="C178" t="s">
        <v>39</v>
      </c>
      <c r="D178" t="s">
        <v>40</v>
      </c>
      <c r="E178" t="s">
        <v>31</v>
      </c>
      <c r="F178">
        <v>14392</v>
      </c>
      <c r="G178" t="s">
        <v>9</v>
      </c>
      <c r="H178">
        <v>15000</v>
      </c>
      <c r="I178">
        <f t="shared" si="2"/>
        <v>0</v>
      </c>
      <c r="J178" s="5">
        <f>(Sales_data[[#This Row],[Sales Amount]]-Sales_data[[#This Row],[TARGET]])</f>
        <v>-608</v>
      </c>
    </row>
    <row r="179" spans="1:10" x14ac:dyDescent="0.3">
      <c r="A179" s="2">
        <v>45772</v>
      </c>
      <c r="B179" s="1" t="s">
        <v>32</v>
      </c>
      <c r="C179" t="s">
        <v>33</v>
      </c>
      <c r="D179" t="s">
        <v>34</v>
      </c>
      <c r="E179" t="s">
        <v>31</v>
      </c>
      <c r="F179">
        <v>15246</v>
      </c>
      <c r="G179" t="s">
        <v>9</v>
      </c>
      <c r="H179">
        <v>15000</v>
      </c>
      <c r="I179">
        <f t="shared" si="2"/>
        <v>1524.6000000000001</v>
      </c>
      <c r="J179" s="5">
        <f>(Sales_data[[#This Row],[Sales Amount]]-Sales_data[[#This Row],[TARGET]])</f>
        <v>246</v>
      </c>
    </row>
    <row r="180" spans="1:10" x14ac:dyDescent="0.3">
      <c r="A180" s="2">
        <v>45772</v>
      </c>
      <c r="B180" s="1" t="s">
        <v>15</v>
      </c>
      <c r="C180" t="s">
        <v>16</v>
      </c>
      <c r="D180" t="s">
        <v>17</v>
      </c>
      <c r="E180" t="s">
        <v>18</v>
      </c>
      <c r="F180">
        <v>15029</v>
      </c>
      <c r="G180" t="s">
        <v>10</v>
      </c>
      <c r="H180">
        <v>15000</v>
      </c>
      <c r="I180">
        <f t="shared" si="2"/>
        <v>1502.9</v>
      </c>
      <c r="J180" s="5">
        <f>(Sales_data[[#This Row],[Sales Amount]]-Sales_data[[#This Row],[TARGET]])</f>
        <v>29</v>
      </c>
    </row>
    <row r="181" spans="1:10" x14ac:dyDescent="0.3">
      <c r="A181" s="2">
        <v>45772</v>
      </c>
      <c r="B181" s="1" t="s">
        <v>25</v>
      </c>
      <c r="C181" t="s">
        <v>26</v>
      </c>
      <c r="D181" t="s">
        <v>27</v>
      </c>
      <c r="E181" t="s">
        <v>18</v>
      </c>
      <c r="F181">
        <v>15120</v>
      </c>
      <c r="G181" t="s">
        <v>10</v>
      </c>
      <c r="H181">
        <v>15000</v>
      </c>
      <c r="I181">
        <f t="shared" si="2"/>
        <v>1512</v>
      </c>
      <c r="J181" s="5">
        <f>(Sales_data[[#This Row],[Sales Amount]]-Sales_data[[#This Row],[TARGET]])</f>
        <v>120</v>
      </c>
    </row>
    <row r="182" spans="1:10" x14ac:dyDescent="0.3">
      <c r="A182" s="2">
        <v>45772</v>
      </c>
      <c r="B182" s="1" t="s">
        <v>15</v>
      </c>
      <c r="C182" t="s">
        <v>16</v>
      </c>
      <c r="D182" t="s">
        <v>17</v>
      </c>
      <c r="E182" t="s">
        <v>18</v>
      </c>
      <c r="F182">
        <v>15264</v>
      </c>
      <c r="G182" t="s">
        <v>10</v>
      </c>
      <c r="H182">
        <v>15000</v>
      </c>
      <c r="I182">
        <f t="shared" si="2"/>
        <v>1526.4</v>
      </c>
      <c r="J182" s="5">
        <f>(Sales_data[[#This Row],[Sales Amount]]-Sales_data[[#This Row],[TARGET]])</f>
        <v>264</v>
      </c>
    </row>
    <row r="183" spans="1:10" x14ac:dyDescent="0.3">
      <c r="A183" s="2">
        <v>45772</v>
      </c>
      <c r="B183" s="1" t="s">
        <v>15</v>
      </c>
      <c r="C183" t="s">
        <v>16</v>
      </c>
      <c r="D183" t="s">
        <v>17</v>
      </c>
      <c r="E183" t="s">
        <v>18</v>
      </c>
      <c r="F183">
        <v>15919.7</v>
      </c>
      <c r="G183" t="s">
        <v>9</v>
      </c>
      <c r="H183">
        <v>15000</v>
      </c>
      <c r="I183">
        <f t="shared" si="2"/>
        <v>1591.9700000000003</v>
      </c>
      <c r="J183" s="5">
        <f>(Sales_data[[#This Row],[Sales Amount]]-Sales_data[[#This Row],[TARGET]])</f>
        <v>919.70000000000073</v>
      </c>
    </row>
    <row r="184" spans="1:10" x14ac:dyDescent="0.3">
      <c r="A184" s="2">
        <v>45772</v>
      </c>
      <c r="B184" s="1" t="s">
        <v>19</v>
      </c>
      <c r="C184" t="s">
        <v>20</v>
      </c>
      <c r="D184" t="s">
        <v>21</v>
      </c>
      <c r="E184" t="s">
        <v>18</v>
      </c>
      <c r="F184">
        <v>15922</v>
      </c>
      <c r="G184" t="s">
        <v>12</v>
      </c>
      <c r="H184">
        <v>15000</v>
      </c>
      <c r="I184">
        <f t="shared" si="2"/>
        <v>1592.2</v>
      </c>
      <c r="J184" s="5">
        <f>(Sales_data[[#This Row],[Sales Amount]]-Sales_data[[#This Row],[TARGET]])</f>
        <v>922</v>
      </c>
    </row>
    <row r="185" spans="1:10" x14ac:dyDescent="0.3">
      <c r="A185" s="2">
        <v>45798</v>
      </c>
      <c r="B185" s="1" t="s">
        <v>32</v>
      </c>
      <c r="C185" t="s">
        <v>33</v>
      </c>
      <c r="D185" t="s">
        <v>34</v>
      </c>
      <c r="E185" t="s">
        <v>31</v>
      </c>
      <c r="F185">
        <v>15802.6</v>
      </c>
      <c r="G185" t="s">
        <v>12</v>
      </c>
      <c r="H185">
        <v>15000</v>
      </c>
      <c r="I185">
        <f t="shared" si="2"/>
        <v>1580.2600000000002</v>
      </c>
      <c r="J185" s="5">
        <f>(Sales_data[[#This Row],[Sales Amount]]-Sales_data[[#This Row],[TARGET]])</f>
        <v>802.60000000000036</v>
      </c>
    </row>
    <row r="186" spans="1:10" x14ac:dyDescent="0.3">
      <c r="A186" s="2">
        <v>45798</v>
      </c>
      <c r="B186" s="1" t="s">
        <v>35</v>
      </c>
      <c r="C186" t="s">
        <v>36</v>
      </c>
      <c r="D186" t="s">
        <v>37</v>
      </c>
      <c r="E186" t="s">
        <v>31</v>
      </c>
      <c r="F186">
        <v>15957.2</v>
      </c>
      <c r="G186" t="s">
        <v>12</v>
      </c>
      <c r="H186">
        <v>15000</v>
      </c>
      <c r="I186">
        <f t="shared" si="2"/>
        <v>1595.7200000000003</v>
      </c>
      <c r="J186" s="5">
        <f>(Sales_data[[#This Row],[Sales Amount]]-Sales_data[[#This Row],[TARGET]])</f>
        <v>957.20000000000073</v>
      </c>
    </row>
    <row r="187" spans="1:10" x14ac:dyDescent="0.3">
      <c r="A187" s="2">
        <v>45798</v>
      </c>
      <c r="B187" s="1" t="s">
        <v>32</v>
      </c>
      <c r="C187" t="s">
        <v>33</v>
      </c>
      <c r="D187" t="s">
        <v>34</v>
      </c>
      <c r="E187" t="s">
        <v>31</v>
      </c>
      <c r="F187">
        <v>16036.8</v>
      </c>
      <c r="G187" t="s">
        <v>10</v>
      </c>
      <c r="H187">
        <v>15000</v>
      </c>
      <c r="I187">
        <f t="shared" si="2"/>
        <v>1603.68</v>
      </c>
      <c r="J187" s="5">
        <f>(Sales_data[[#This Row],[Sales Amount]]-Sales_data[[#This Row],[TARGET]])</f>
        <v>1036.7999999999993</v>
      </c>
    </row>
    <row r="188" spans="1:10" x14ac:dyDescent="0.3">
      <c r="A188" s="2">
        <v>45798</v>
      </c>
      <c r="B188" s="1" t="s">
        <v>32</v>
      </c>
      <c r="C188" t="s">
        <v>33</v>
      </c>
      <c r="D188" t="s">
        <v>34</v>
      </c>
      <c r="E188" t="s">
        <v>31</v>
      </c>
      <c r="F188">
        <v>16077</v>
      </c>
      <c r="G188" t="s">
        <v>10</v>
      </c>
      <c r="H188">
        <v>15000</v>
      </c>
      <c r="I188">
        <f t="shared" si="2"/>
        <v>1607.7</v>
      </c>
      <c r="J188" s="5">
        <f>(Sales_data[[#This Row],[Sales Amount]]-Sales_data[[#This Row],[TARGET]])</f>
        <v>1077</v>
      </c>
    </row>
    <row r="189" spans="1:10" x14ac:dyDescent="0.3">
      <c r="A189" s="2">
        <v>45798</v>
      </c>
      <c r="B189" s="1" t="s">
        <v>71</v>
      </c>
      <c r="C189" t="s">
        <v>72</v>
      </c>
      <c r="D189" t="s">
        <v>73</v>
      </c>
      <c r="E189" t="s">
        <v>31</v>
      </c>
      <c r="F189">
        <v>16492</v>
      </c>
      <c r="G189" t="s">
        <v>9</v>
      </c>
      <c r="H189">
        <v>15000</v>
      </c>
      <c r="I189">
        <f t="shared" si="2"/>
        <v>1649.2</v>
      </c>
      <c r="J189" s="5">
        <f>(Sales_data[[#This Row],[Sales Amount]]-Sales_data[[#This Row],[TARGET]])</f>
        <v>1492</v>
      </c>
    </row>
    <row r="190" spans="1:10" x14ac:dyDescent="0.3">
      <c r="A190" s="2">
        <v>45798</v>
      </c>
      <c r="B190" s="1" t="s">
        <v>28</v>
      </c>
      <c r="C190" t="s">
        <v>29</v>
      </c>
      <c r="D190" t="s">
        <v>30</v>
      </c>
      <c r="E190" t="s">
        <v>31</v>
      </c>
      <c r="F190">
        <v>16604.400000000001</v>
      </c>
      <c r="G190" t="s">
        <v>10</v>
      </c>
      <c r="H190">
        <v>15000</v>
      </c>
      <c r="I190">
        <f t="shared" si="2"/>
        <v>1660.4400000000003</v>
      </c>
      <c r="J190" s="5">
        <f>(Sales_data[[#This Row],[Sales Amount]]-Sales_data[[#This Row],[TARGET]])</f>
        <v>1604.4000000000015</v>
      </c>
    </row>
    <row r="191" spans="1:10" x14ac:dyDescent="0.3">
      <c r="A191" s="2">
        <v>45798</v>
      </c>
      <c r="B191" s="1" t="s">
        <v>28</v>
      </c>
      <c r="C191" t="s">
        <v>29</v>
      </c>
      <c r="D191" t="s">
        <v>30</v>
      </c>
      <c r="E191" t="s">
        <v>31</v>
      </c>
      <c r="F191">
        <v>16702.400000000001</v>
      </c>
      <c r="G191" t="s">
        <v>10</v>
      </c>
      <c r="H191">
        <v>15000</v>
      </c>
      <c r="I191">
        <f t="shared" si="2"/>
        <v>1670.2400000000002</v>
      </c>
      <c r="J191" s="5">
        <f>(Sales_data[[#This Row],[Sales Amount]]-Sales_data[[#This Row],[TARGET]])</f>
        <v>1702.4000000000015</v>
      </c>
    </row>
    <row r="192" spans="1:10" x14ac:dyDescent="0.3">
      <c r="A192" s="2">
        <v>45798</v>
      </c>
      <c r="B192" s="1" t="s">
        <v>38</v>
      </c>
      <c r="C192" t="s">
        <v>39</v>
      </c>
      <c r="D192" t="s">
        <v>40</v>
      </c>
      <c r="E192" t="s">
        <v>31</v>
      </c>
      <c r="F192">
        <v>16846.8</v>
      </c>
      <c r="G192" t="s">
        <v>10</v>
      </c>
      <c r="H192">
        <v>15000</v>
      </c>
      <c r="I192">
        <f t="shared" si="2"/>
        <v>1684.68</v>
      </c>
      <c r="J192" s="5">
        <f>(Sales_data[[#This Row],[Sales Amount]]-Sales_data[[#This Row],[TARGET]])</f>
        <v>1846.7999999999993</v>
      </c>
    </row>
    <row r="193" spans="1:10" x14ac:dyDescent="0.3">
      <c r="A193" s="2">
        <v>45798</v>
      </c>
      <c r="B193" s="1" t="s">
        <v>38</v>
      </c>
      <c r="C193" t="s">
        <v>39</v>
      </c>
      <c r="D193" t="s">
        <v>40</v>
      </c>
      <c r="E193" t="s">
        <v>31</v>
      </c>
      <c r="F193">
        <v>17204.400000000001</v>
      </c>
      <c r="G193" t="s">
        <v>9</v>
      </c>
      <c r="H193">
        <v>15000</v>
      </c>
      <c r="I193">
        <f t="shared" si="2"/>
        <v>1720.4400000000003</v>
      </c>
      <c r="J193" s="5">
        <f>(Sales_data[[#This Row],[Sales Amount]]-Sales_data[[#This Row],[TARGET]])</f>
        <v>2204.4000000000015</v>
      </c>
    </row>
    <row r="194" spans="1:10" x14ac:dyDescent="0.3">
      <c r="A194" s="2">
        <v>45798</v>
      </c>
      <c r="B194" s="1" t="s">
        <v>38</v>
      </c>
      <c r="C194" t="s">
        <v>39</v>
      </c>
      <c r="D194" t="s">
        <v>40</v>
      </c>
      <c r="E194" t="s">
        <v>31</v>
      </c>
      <c r="F194">
        <v>17335.2</v>
      </c>
      <c r="G194" t="s">
        <v>12</v>
      </c>
      <c r="H194">
        <v>15000</v>
      </c>
      <c r="I194">
        <f t="shared" si="2"/>
        <v>1733.5200000000002</v>
      </c>
      <c r="J194" s="5">
        <f>(Sales_data[[#This Row],[Sales Amount]]-Sales_data[[#This Row],[TARGET]])</f>
        <v>2335.2000000000007</v>
      </c>
    </row>
    <row r="195" spans="1:10" x14ac:dyDescent="0.3">
      <c r="A195" s="2">
        <v>45798</v>
      </c>
      <c r="B195" s="1" t="s">
        <v>45</v>
      </c>
      <c r="C195" t="s">
        <v>46</v>
      </c>
      <c r="D195" t="s">
        <v>47</v>
      </c>
      <c r="E195" t="s">
        <v>44</v>
      </c>
      <c r="F195">
        <v>14311.2</v>
      </c>
      <c r="G195" t="s">
        <v>9</v>
      </c>
      <c r="H195">
        <v>15000</v>
      </c>
      <c r="I195">
        <f t="shared" ref="I195:I258" si="3">IF(F195&gt;=H195,0.1*F195,0)</f>
        <v>0</v>
      </c>
      <c r="J195" s="5">
        <f>(Sales_data[[#This Row],[Sales Amount]]-Sales_data[[#This Row],[TARGET]])</f>
        <v>-688.79999999999927</v>
      </c>
    </row>
    <row r="196" spans="1:10" x14ac:dyDescent="0.3">
      <c r="A196" s="2">
        <v>45798</v>
      </c>
      <c r="B196" s="1" t="s">
        <v>45</v>
      </c>
      <c r="C196" t="s">
        <v>46</v>
      </c>
      <c r="D196" t="s">
        <v>47</v>
      </c>
      <c r="E196" t="s">
        <v>44</v>
      </c>
      <c r="F196">
        <v>14616</v>
      </c>
      <c r="G196" t="s">
        <v>10</v>
      </c>
      <c r="H196">
        <v>15000</v>
      </c>
      <c r="I196">
        <f t="shared" si="3"/>
        <v>0</v>
      </c>
      <c r="J196" s="5">
        <f>(Sales_data[[#This Row],[Sales Amount]]-Sales_data[[#This Row],[TARGET]])</f>
        <v>-384</v>
      </c>
    </row>
    <row r="197" spans="1:10" x14ac:dyDescent="0.3">
      <c r="A197" s="2">
        <v>45798</v>
      </c>
      <c r="B197" s="1" t="s">
        <v>45</v>
      </c>
      <c r="C197" t="s">
        <v>46</v>
      </c>
      <c r="D197" t="s">
        <v>47</v>
      </c>
      <c r="E197" t="s">
        <v>44</v>
      </c>
      <c r="F197">
        <v>14715.2</v>
      </c>
      <c r="G197" t="s">
        <v>10</v>
      </c>
      <c r="H197">
        <v>15000</v>
      </c>
      <c r="I197">
        <f t="shared" si="3"/>
        <v>0</v>
      </c>
      <c r="J197" s="5">
        <f>(Sales_data[[#This Row],[Sales Amount]]-Sales_data[[#This Row],[TARGET]])</f>
        <v>-284.79999999999927</v>
      </c>
    </row>
    <row r="198" spans="1:10" x14ac:dyDescent="0.3">
      <c r="A198" s="2">
        <v>45798</v>
      </c>
      <c r="B198" s="1" t="s">
        <v>41</v>
      </c>
      <c r="C198" t="s">
        <v>42</v>
      </c>
      <c r="D198" t="s">
        <v>43</v>
      </c>
      <c r="E198" t="s">
        <v>44</v>
      </c>
      <c r="F198">
        <v>15262.8</v>
      </c>
      <c r="G198" t="s">
        <v>12</v>
      </c>
      <c r="H198">
        <v>15000</v>
      </c>
      <c r="I198">
        <f t="shared" si="3"/>
        <v>1526.28</v>
      </c>
      <c r="J198" s="5">
        <f>(Sales_data[[#This Row],[Sales Amount]]-Sales_data[[#This Row],[TARGET]])</f>
        <v>262.79999999999927</v>
      </c>
    </row>
    <row r="199" spans="1:10" x14ac:dyDescent="0.3">
      <c r="A199" s="2">
        <v>45798</v>
      </c>
      <c r="B199" s="1" t="s">
        <v>48</v>
      </c>
      <c r="C199" t="s">
        <v>49</v>
      </c>
      <c r="D199" t="s">
        <v>50</v>
      </c>
      <c r="E199" t="s">
        <v>44</v>
      </c>
      <c r="F199">
        <v>15353.2</v>
      </c>
      <c r="G199" t="s">
        <v>9</v>
      </c>
      <c r="H199">
        <v>15000</v>
      </c>
      <c r="I199">
        <f t="shared" si="3"/>
        <v>1535.3200000000002</v>
      </c>
      <c r="J199" s="5">
        <f>(Sales_data[[#This Row],[Sales Amount]]-Sales_data[[#This Row],[TARGET]])</f>
        <v>353.20000000000073</v>
      </c>
    </row>
    <row r="200" spans="1:10" x14ac:dyDescent="0.3">
      <c r="A200" s="2">
        <v>45798</v>
      </c>
      <c r="B200" s="1" t="s">
        <v>41</v>
      </c>
      <c r="C200" t="s">
        <v>42</v>
      </c>
      <c r="D200" t="s">
        <v>43</v>
      </c>
      <c r="E200" t="s">
        <v>44</v>
      </c>
      <c r="F200">
        <v>15403.6</v>
      </c>
      <c r="G200" t="s">
        <v>10</v>
      </c>
      <c r="H200">
        <v>15000</v>
      </c>
      <c r="I200">
        <f t="shared" si="3"/>
        <v>1540.3600000000001</v>
      </c>
      <c r="J200" s="5">
        <f>(Sales_data[[#This Row],[Sales Amount]]-Sales_data[[#This Row],[TARGET]])</f>
        <v>403.60000000000036</v>
      </c>
    </row>
    <row r="201" spans="1:10" x14ac:dyDescent="0.3">
      <c r="A201" s="2">
        <v>45798</v>
      </c>
      <c r="B201" s="1" t="s">
        <v>45</v>
      </c>
      <c r="C201" t="s">
        <v>46</v>
      </c>
      <c r="D201" t="s">
        <v>47</v>
      </c>
      <c r="E201" t="s">
        <v>44</v>
      </c>
      <c r="F201">
        <v>15953.6</v>
      </c>
      <c r="G201" t="s">
        <v>10</v>
      </c>
      <c r="H201">
        <v>15000</v>
      </c>
      <c r="I201">
        <f t="shared" si="3"/>
        <v>1595.3600000000001</v>
      </c>
      <c r="J201" s="5">
        <f>(Sales_data[[#This Row],[Sales Amount]]-Sales_data[[#This Row],[TARGET]])</f>
        <v>953.60000000000036</v>
      </c>
    </row>
    <row r="202" spans="1:10" x14ac:dyDescent="0.3">
      <c r="A202" s="2">
        <v>45798</v>
      </c>
      <c r="B202" s="1" t="s">
        <v>25</v>
      </c>
      <c r="C202" t="s">
        <v>26</v>
      </c>
      <c r="D202" t="s">
        <v>27</v>
      </c>
      <c r="E202" t="s">
        <v>18</v>
      </c>
      <c r="F202">
        <v>16063.2</v>
      </c>
      <c r="G202" t="s">
        <v>10</v>
      </c>
      <c r="H202">
        <v>15000</v>
      </c>
      <c r="I202">
        <f t="shared" si="3"/>
        <v>1606.3200000000002</v>
      </c>
      <c r="J202" s="5">
        <f>(Sales_data[[#This Row],[Sales Amount]]-Sales_data[[#This Row],[TARGET]])</f>
        <v>1063.2000000000007</v>
      </c>
    </row>
    <row r="203" spans="1:10" x14ac:dyDescent="0.3">
      <c r="A203" s="2">
        <v>45798</v>
      </c>
      <c r="B203" s="1" t="s">
        <v>68</v>
      </c>
      <c r="C203" t="s">
        <v>69</v>
      </c>
      <c r="D203" t="s">
        <v>70</v>
      </c>
      <c r="E203" t="s">
        <v>18</v>
      </c>
      <c r="F203">
        <v>16321.6</v>
      </c>
      <c r="G203" t="s">
        <v>9</v>
      </c>
      <c r="H203">
        <v>15000</v>
      </c>
      <c r="I203">
        <f t="shared" si="3"/>
        <v>1632.16</v>
      </c>
      <c r="J203" s="5">
        <f>(Sales_data[[#This Row],[Sales Amount]]-Sales_data[[#This Row],[TARGET]])</f>
        <v>1321.6000000000004</v>
      </c>
    </row>
    <row r="204" spans="1:10" x14ac:dyDescent="0.3">
      <c r="A204" s="2">
        <v>45798</v>
      </c>
      <c r="B204" s="1" t="s">
        <v>19</v>
      </c>
      <c r="C204" t="s">
        <v>20</v>
      </c>
      <c r="D204" t="s">
        <v>21</v>
      </c>
      <c r="E204" t="s">
        <v>18</v>
      </c>
      <c r="F204">
        <v>16604.400000000001</v>
      </c>
      <c r="G204" t="s">
        <v>12</v>
      </c>
      <c r="H204">
        <v>15000</v>
      </c>
      <c r="I204">
        <f t="shared" si="3"/>
        <v>1660.4400000000003</v>
      </c>
      <c r="J204" s="5">
        <f>(Sales_data[[#This Row],[Sales Amount]]-Sales_data[[#This Row],[TARGET]])</f>
        <v>1604.4000000000015</v>
      </c>
    </row>
    <row r="205" spans="1:10" x14ac:dyDescent="0.3">
      <c r="A205" s="2">
        <v>45798</v>
      </c>
      <c r="B205" s="1" t="s">
        <v>25</v>
      </c>
      <c r="C205" t="s">
        <v>26</v>
      </c>
      <c r="D205" t="s">
        <v>27</v>
      </c>
      <c r="E205" t="s">
        <v>18</v>
      </c>
      <c r="F205">
        <v>16606</v>
      </c>
      <c r="G205" t="s">
        <v>9</v>
      </c>
      <c r="H205">
        <v>15000</v>
      </c>
      <c r="I205">
        <f t="shared" si="3"/>
        <v>1660.6000000000001</v>
      </c>
      <c r="J205" s="5">
        <f>(Sales_data[[#This Row],[Sales Amount]]-Sales_data[[#This Row],[TARGET]])</f>
        <v>1606</v>
      </c>
    </row>
    <row r="206" spans="1:10" x14ac:dyDescent="0.3">
      <c r="A206" s="2">
        <v>45798</v>
      </c>
      <c r="B206" s="1" t="s">
        <v>15</v>
      </c>
      <c r="C206" t="s">
        <v>16</v>
      </c>
      <c r="D206" t="s">
        <v>17</v>
      </c>
      <c r="E206" t="s">
        <v>18</v>
      </c>
      <c r="F206">
        <v>16614.400000000001</v>
      </c>
      <c r="G206" t="s">
        <v>9</v>
      </c>
      <c r="H206">
        <v>15000</v>
      </c>
      <c r="I206">
        <f t="shared" si="3"/>
        <v>1661.4400000000003</v>
      </c>
      <c r="J206" s="5">
        <f>(Sales_data[[#This Row],[Sales Amount]]-Sales_data[[#This Row],[TARGET]])</f>
        <v>1614.4000000000015</v>
      </c>
    </row>
    <row r="207" spans="1:10" x14ac:dyDescent="0.3">
      <c r="A207" s="2">
        <v>45798</v>
      </c>
      <c r="B207" s="1" t="s">
        <v>19</v>
      </c>
      <c r="C207" t="s">
        <v>20</v>
      </c>
      <c r="D207" t="s">
        <v>21</v>
      </c>
      <c r="E207" t="s">
        <v>18</v>
      </c>
      <c r="F207">
        <v>16836</v>
      </c>
      <c r="G207" t="s">
        <v>9</v>
      </c>
      <c r="H207">
        <v>15000</v>
      </c>
      <c r="I207">
        <f t="shared" si="3"/>
        <v>1683.6000000000001</v>
      </c>
      <c r="J207" s="5">
        <f>(Sales_data[[#This Row],[Sales Amount]]-Sales_data[[#This Row],[TARGET]])</f>
        <v>1836</v>
      </c>
    </row>
    <row r="208" spans="1:10" x14ac:dyDescent="0.3">
      <c r="A208" s="2">
        <v>45798</v>
      </c>
      <c r="B208" s="1" t="s">
        <v>15</v>
      </c>
      <c r="C208" t="s">
        <v>16</v>
      </c>
      <c r="D208" t="s">
        <v>17</v>
      </c>
      <c r="E208" t="s">
        <v>18</v>
      </c>
      <c r="F208">
        <v>17353.599999999999</v>
      </c>
      <c r="G208" t="s">
        <v>9</v>
      </c>
      <c r="H208">
        <v>15000</v>
      </c>
      <c r="I208">
        <f t="shared" si="3"/>
        <v>1735.36</v>
      </c>
      <c r="J208" s="5">
        <f>(Sales_data[[#This Row],[Sales Amount]]-Sales_data[[#This Row],[TARGET]])</f>
        <v>2353.5999999999985</v>
      </c>
    </row>
    <row r="209" spans="1:10" x14ac:dyDescent="0.3">
      <c r="A209" s="2">
        <v>45798</v>
      </c>
      <c r="B209" s="1" t="s">
        <v>19</v>
      </c>
      <c r="C209" t="s">
        <v>20</v>
      </c>
      <c r="D209" t="s">
        <v>21</v>
      </c>
      <c r="E209" t="s">
        <v>18</v>
      </c>
      <c r="F209">
        <v>17766</v>
      </c>
      <c r="G209" t="s">
        <v>9</v>
      </c>
      <c r="H209">
        <v>15000</v>
      </c>
      <c r="I209">
        <f t="shared" si="3"/>
        <v>1776.6000000000001</v>
      </c>
      <c r="J209" s="5">
        <f>(Sales_data[[#This Row],[Sales Amount]]-Sales_data[[#This Row],[TARGET]])</f>
        <v>2766</v>
      </c>
    </row>
    <row r="210" spans="1:10" x14ac:dyDescent="0.3">
      <c r="A210" s="2">
        <v>45798</v>
      </c>
      <c r="B210" s="1" t="s">
        <v>22</v>
      </c>
      <c r="C210" t="s">
        <v>23</v>
      </c>
      <c r="D210" t="s">
        <v>24</v>
      </c>
      <c r="E210" t="s">
        <v>18</v>
      </c>
      <c r="F210">
        <v>17776</v>
      </c>
      <c r="G210" t="s">
        <v>12</v>
      </c>
      <c r="H210">
        <v>15000</v>
      </c>
      <c r="I210">
        <f t="shared" si="3"/>
        <v>1777.6000000000001</v>
      </c>
      <c r="J210" s="5">
        <f>(Sales_data[[#This Row],[Sales Amount]]-Sales_data[[#This Row],[TARGET]])</f>
        <v>2776</v>
      </c>
    </row>
    <row r="211" spans="1:10" x14ac:dyDescent="0.3">
      <c r="A211" s="2">
        <v>45798</v>
      </c>
      <c r="B211" s="1" t="s">
        <v>22</v>
      </c>
      <c r="C211" t="s">
        <v>23</v>
      </c>
      <c r="D211" t="s">
        <v>24</v>
      </c>
      <c r="E211" t="s">
        <v>18</v>
      </c>
      <c r="F211">
        <v>17904.7</v>
      </c>
      <c r="G211" t="s">
        <v>12</v>
      </c>
      <c r="H211">
        <v>15000</v>
      </c>
      <c r="I211">
        <f t="shared" si="3"/>
        <v>1790.4700000000003</v>
      </c>
      <c r="J211" s="5">
        <f>(Sales_data[[#This Row],[Sales Amount]]-Sales_data[[#This Row],[TARGET]])</f>
        <v>2904.7000000000007</v>
      </c>
    </row>
    <row r="212" spans="1:10" x14ac:dyDescent="0.3">
      <c r="A212" s="2">
        <v>45798</v>
      </c>
      <c r="B212" s="1" t="s">
        <v>15</v>
      </c>
      <c r="C212" t="s">
        <v>16</v>
      </c>
      <c r="D212" t="s">
        <v>17</v>
      </c>
      <c r="E212" t="s">
        <v>18</v>
      </c>
      <c r="F212">
        <v>18396.7</v>
      </c>
      <c r="G212" t="s">
        <v>9</v>
      </c>
      <c r="H212">
        <v>15000</v>
      </c>
      <c r="I212">
        <f t="shared" si="3"/>
        <v>1839.67</v>
      </c>
      <c r="J212" s="5">
        <f>(Sales_data[[#This Row],[Sales Amount]]-Sales_data[[#This Row],[TARGET]])</f>
        <v>3396.7000000000007</v>
      </c>
    </row>
    <row r="213" spans="1:10" x14ac:dyDescent="0.3">
      <c r="A213" s="2">
        <v>45798</v>
      </c>
      <c r="B213" s="1" t="s">
        <v>62</v>
      </c>
      <c r="C213" t="s">
        <v>13</v>
      </c>
      <c r="D213" t="s">
        <v>63</v>
      </c>
      <c r="E213" t="s">
        <v>8</v>
      </c>
      <c r="F213">
        <v>14329.5</v>
      </c>
      <c r="G213" t="s">
        <v>9</v>
      </c>
      <c r="H213">
        <v>15000</v>
      </c>
      <c r="I213">
        <f t="shared" si="3"/>
        <v>0</v>
      </c>
      <c r="J213" s="5">
        <f>(Sales_data[[#This Row],[Sales Amount]]-Sales_data[[#This Row],[TARGET]])</f>
        <v>-670.5</v>
      </c>
    </row>
    <row r="214" spans="1:10" x14ac:dyDescent="0.3">
      <c r="A214" s="2">
        <v>45798</v>
      </c>
      <c r="B214" s="1" t="s">
        <v>66</v>
      </c>
      <c r="C214" t="s">
        <v>7</v>
      </c>
      <c r="D214" t="s">
        <v>67</v>
      </c>
      <c r="E214" t="s">
        <v>8</v>
      </c>
      <c r="F214">
        <v>14416</v>
      </c>
      <c r="G214" t="s">
        <v>12</v>
      </c>
      <c r="H214">
        <v>15000</v>
      </c>
      <c r="I214">
        <f t="shared" si="3"/>
        <v>0</v>
      </c>
      <c r="J214" s="5">
        <f>(Sales_data[[#This Row],[Sales Amount]]-Sales_data[[#This Row],[TARGET]])</f>
        <v>-584</v>
      </c>
    </row>
    <row r="215" spans="1:10" x14ac:dyDescent="0.3">
      <c r="A215" s="2">
        <v>45798</v>
      </c>
      <c r="B215" s="1" t="s">
        <v>60</v>
      </c>
      <c r="C215" t="s">
        <v>14</v>
      </c>
      <c r="D215" t="s">
        <v>61</v>
      </c>
      <c r="E215" t="s">
        <v>8</v>
      </c>
      <c r="F215">
        <v>15061.2</v>
      </c>
      <c r="G215" t="s">
        <v>10</v>
      </c>
      <c r="H215">
        <v>15000</v>
      </c>
      <c r="I215">
        <f t="shared" si="3"/>
        <v>1506.1200000000001</v>
      </c>
      <c r="J215" s="5">
        <f>(Sales_data[[#This Row],[Sales Amount]]-Sales_data[[#This Row],[TARGET]])</f>
        <v>61.200000000000728</v>
      </c>
    </row>
    <row r="216" spans="1:10" x14ac:dyDescent="0.3">
      <c r="A216" s="2">
        <v>45798</v>
      </c>
      <c r="B216" s="1" t="s">
        <v>57</v>
      </c>
      <c r="C216" t="s">
        <v>58</v>
      </c>
      <c r="D216" t="s">
        <v>59</v>
      </c>
      <c r="E216" t="s">
        <v>8</v>
      </c>
      <c r="F216">
        <v>15152.4</v>
      </c>
      <c r="G216" t="s">
        <v>12</v>
      </c>
      <c r="H216">
        <v>15000</v>
      </c>
      <c r="I216">
        <f t="shared" si="3"/>
        <v>1515.24</v>
      </c>
      <c r="J216" s="5">
        <f>(Sales_data[[#This Row],[Sales Amount]]-Sales_data[[#This Row],[TARGET]])</f>
        <v>152.39999999999964</v>
      </c>
    </row>
    <row r="217" spans="1:10" x14ac:dyDescent="0.3">
      <c r="A217" s="2">
        <v>45798</v>
      </c>
      <c r="B217" s="1" t="s">
        <v>62</v>
      </c>
      <c r="C217" t="s">
        <v>13</v>
      </c>
      <c r="D217" t="s">
        <v>63</v>
      </c>
      <c r="E217" t="s">
        <v>8</v>
      </c>
      <c r="F217">
        <v>15633.2</v>
      </c>
      <c r="G217" t="s">
        <v>10</v>
      </c>
      <c r="H217">
        <v>15000</v>
      </c>
      <c r="I217">
        <f t="shared" si="3"/>
        <v>1563.3200000000002</v>
      </c>
      <c r="J217" s="5">
        <f>(Sales_data[[#This Row],[Sales Amount]]-Sales_data[[#This Row],[TARGET]])</f>
        <v>633.20000000000073</v>
      </c>
    </row>
    <row r="218" spans="1:10" x14ac:dyDescent="0.3">
      <c r="A218" s="2">
        <v>45798</v>
      </c>
      <c r="B218" s="1" t="s">
        <v>66</v>
      </c>
      <c r="C218" t="s">
        <v>7</v>
      </c>
      <c r="D218" t="s">
        <v>67</v>
      </c>
      <c r="E218" t="s">
        <v>8</v>
      </c>
      <c r="F218">
        <v>15670.2</v>
      </c>
      <c r="G218" t="s">
        <v>12</v>
      </c>
      <c r="H218">
        <v>15000</v>
      </c>
      <c r="I218">
        <f t="shared" si="3"/>
        <v>1567.0200000000002</v>
      </c>
      <c r="J218" s="5">
        <f>(Sales_data[[#This Row],[Sales Amount]]-Sales_data[[#This Row],[TARGET]])</f>
        <v>670.20000000000073</v>
      </c>
    </row>
    <row r="219" spans="1:10" x14ac:dyDescent="0.3">
      <c r="A219" s="2">
        <v>45829</v>
      </c>
      <c r="B219" s="1" t="s">
        <v>32</v>
      </c>
      <c r="C219" t="s">
        <v>33</v>
      </c>
      <c r="D219" t="s">
        <v>34</v>
      </c>
      <c r="E219" t="s">
        <v>31</v>
      </c>
      <c r="F219">
        <v>18298.400000000001</v>
      </c>
      <c r="G219" t="s">
        <v>12</v>
      </c>
      <c r="H219">
        <v>15000</v>
      </c>
      <c r="I219">
        <f t="shared" si="3"/>
        <v>1829.8400000000001</v>
      </c>
      <c r="J219" s="5">
        <f>(Sales_data[[#This Row],[Sales Amount]]-Sales_data[[#This Row],[TARGET]])</f>
        <v>3298.4000000000015</v>
      </c>
    </row>
    <row r="220" spans="1:10" x14ac:dyDescent="0.3">
      <c r="A220" s="2">
        <v>45829</v>
      </c>
      <c r="B220" s="1" t="s">
        <v>45</v>
      </c>
      <c r="C220" t="s">
        <v>46</v>
      </c>
      <c r="D220" t="s">
        <v>47</v>
      </c>
      <c r="E220" t="s">
        <v>44</v>
      </c>
      <c r="F220">
        <v>16394.400000000001</v>
      </c>
      <c r="G220" t="s">
        <v>10</v>
      </c>
      <c r="H220">
        <v>15000</v>
      </c>
      <c r="I220">
        <f t="shared" si="3"/>
        <v>1639.4400000000003</v>
      </c>
      <c r="J220" s="5">
        <f>(Sales_data[[#This Row],[Sales Amount]]-Sales_data[[#This Row],[TARGET]])</f>
        <v>1394.4000000000015</v>
      </c>
    </row>
    <row r="221" spans="1:10" x14ac:dyDescent="0.3">
      <c r="A221" s="2">
        <v>45829</v>
      </c>
      <c r="B221" s="1" t="s">
        <v>45</v>
      </c>
      <c r="C221" t="s">
        <v>46</v>
      </c>
      <c r="D221" t="s">
        <v>47</v>
      </c>
      <c r="E221" t="s">
        <v>44</v>
      </c>
      <c r="F221">
        <v>16606</v>
      </c>
      <c r="G221" t="s">
        <v>12</v>
      </c>
      <c r="H221">
        <v>15000</v>
      </c>
      <c r="I221">
        <f t="shared" si="3"/>
        <v>1660.6000000000001</v>
      </c>
      <c r="J221" s="5">
        <f>(Sales_data[[#This Row],[Sales Amount]]-Sales_data[[#This Row],[TARGET]])</f>
        <v>1606</v>
      </c>
    </row>
    <row r="222" spans="1:10" x14ac:dyDescent="0.3">
      <c r="A222" s="2">
        <v>45829</v>
      </c>
      <c r="B222" s="1" t="s">
        <v>45</v>
      </c>
      <c r="C222" t="s">
        <v>46</v>
      </c>
      <c r="D222" t="s">
        <v>47</v>
      </c>
      <c r="E222" t="s">
        <v>44</v>
      </c>
      <c r="F222">
        <v>17328.3</v>
      </c>
      <c r="G222" t="s">
        <v>12</v>
      </c>
      <c r="H222">
        <v>15000</v>
      </c>
      <c r="I222">
        <f t="shared" si="3"/>
        <v>1732.83</v>
      </c>
      <c r="J222" s="5">
        <f>(Sales_data[[#This Row],[Sales Amount]]-Sales_data[[#This Row],[TARGET]])</f>
        <v>2328.2999999999993</v>
      </c>
    </row>
    <row r="223" spans="1:10" x14ac:dyDescent="0.3">
      <c r="A223" s="2">
        <v>45829</v>
      </c>
      <c r="B223" s="1" t="s">
        <v>48</v>
      </c>
      <c r="C223" t="s">
        <v>49</v>
      </c>
      <c r="D223" t="s">
        <v>50</v>
      </c>
      <c r="E223" t="s">
        <v>44</v>
      </c>
      <c r="F223">
        <v>17593.400000000001</v>
      </c>
      <c r="G223" t="s">
        <v>10</v>
      </c>
      <c r="H223">
        <v>15000</v>
      </c>
      <c r="I223">
        <f t="shared" si="3"/>
        <v>1759.3400000000001</v>
      </c>
      <c r="J223" s="5">
        <f>(Sales_data[[#This Row],[Sales Amount]]-Sales_data[[#This Row],[TARGET]])</f>
        <v>2593.4000000000015</v>
      </c>
    </row>
    <row r="224" spans="1:10" x14ac:dyDescent="0.3">
      <c r="A224" s="2">
        <v>45829</v>
      </c>
      <c r="B224" s="1" t="s">
        <v>54</v>
      </c>
      <c r="C224" t="s">
        <v>55</v>
      </c>
      <c r="D224" t="s">
        <v>56</v>
      </c>
      <c r="E224" t="s">
        <v>44</v>
      </c>
      <c r="F224">
        <v>17666</v>
      </c>
      <c r="G224" t="s">
        <v>9</v>
      </c>
      <c r="H224">
        <v>15000</v>
      </c>
      <c r="I224">
        <f t="shared" si="3"/>
        <v>1766.6000000000001</v>
      </c>
      <c r="J224" s="5">
        <f>(Sales_data[[#This Row],[Sales Amount]]-Sales_data[[#This Row],[TARGET]])</f>
        <v>2666</v>
      </c>
    </row>
    <row r="225" spans="1:10" x14ac:dyDescent="0.3">
      <c r="A225" s="2">
        <v>45829</v>
      </c>
      <c r="B225" s="1" t="s">
        <v>41</v>
      </c>
      <c r="C225" t="s">
        <v>42</v>
      </c>
      <c r="D225" t="s">
        <v>43</v>
      </c>
      <c r="E225" t="s">
        <v>44</v>
      </c>
      <c r="F225">
        <v>18452.599999999999</v>
      </c>
      <c r="G225" t="s">
        <v>12</v>
      </c>
      <c r="H225">
        <v>15000</v>
      </c>
      <c r="I225">
        <f t="shared" si="3"/>
        <v>1845.26</v>
      </c>
      <c r="J225" s="5">
        <f>(Sales_data[[#This Row],[Sales Amount]]-Sales_data[[#This Row],[TARGET]])</f>
        <v>3452.5999999999985</v>
      </c>
    </row>
    <row r="226" spans="1:10" x14ac:dyDescent="0.3">
      <c r="A226" s="2">
        <v>45829</v>
      </c>
      <c r="B226" s="1" t="s">
        <v>22</v>
      </c>
      <c r="C226" t="s">
        <v>23</v>
      </c>
      <c r="D226" t="s">
        <v>24</v>
      </c>
      <c r="E226" t="s">
        <v>18</v>
      </c>
      <c r="F226">
        <v>18878.400000000001</v>
      </c>
      <c r="G226" t="s">
        <v>10</v>
      </c>
      <c r="H226">
        <v>15000</v>
      </c>
      <c r="I226">
        <f t="shared" si="3"/>
        <v>1887.8400000000001</v>
      </c>
      <c r="J226" s="5">
        <f>(Sales_data[[#This Row],[Sales Amount]]-Sales_data[[#This Row],[TARGET]])</f>
        <v>3878.4000000000015</v>
      </c>
    </row>
    <row r="227" spans="1:10" x14ac:dyDescent="0.3">
      <c r="A227" s="2">
        <v>45829</v>
      </c>
      <c r="B227" s="1" t="s">
        <v>19</v>
      </c>
      <c r="C227" t="s">
        <v>20</v>
      </c>
      <c r="D227" t="s">
        <v>21</v>
      </c>
      <c r="E227" t="s">
        <v>18</v>
      </c>
      <c r="F227">
        <v>19431</v>
      </c>
      <c r="G227" t="s">
        <v>10</v>
      </c>
      <c r="H227">
        <v>15000</v>
      </c>
      <c r="I227">
        <f t="shared" si="3"/>
        <v>1943.1000000000001</v>
      </c>
      <c r="J227" s="5">
        <f>(Sales_data[[#This Row],[Sales Amount]]-Sales_data[[#This Row],[TARGET]])</f>
        <v>4431</v>
      </c>
    </row>
    <row r="228" spans="1:10" x14ac:dyDescent="0.3">
      <c r="A228" s="2">
        <v>45829</v>
      </c>
      <c r="B228" s="1" t="s">
        <v>22</v>
      </c>
      <c r="C228" t="s">
        <v>23</v>
      </c>
      <c r="D228" t="s">
        <v>24</v>
      </c>
      <c r="E228" t="s">
        <v>18</v>
      </c>
      <c r="F228">
        <v>19584</v>
      </c>
      <c r="G228" t="s">
        <v>10</v>
      </c>
      <c r="H228">
        <v>15000</v>
      </c>
      <c r="I228">
        <f t="shared" si="3"/>
        <v>1958.4</v>
      </c>
      <c r="J228" s="5">
        <f>(Sales_data[[#This Row],[Sales Amount]]-Sales_data[[#This Row],[TARGET]])</f>
        <v>4584</v>
      </c>
    </row>
    <row r="229" spans="1:10" x14ac:dyDescent="0.3">
      <c r="A229" s="2">
        <v>45829</v>
      </c>
      <c r="B229" s="1" t="s">
        <v>25</v>
      </c>
      <c r="C229" t="s">
        <v>26</v>
      </c>
      <c r="D229" t="s">
        <v>27</v>
      </c>
      <c r="E229" t="s">
        <v>18</v>
      </c>
      <c r="F229">
        <v>19594</v>
      </c>
      <c r="G229" t="s">
        <v>12</v>
      </c>
      <c r="H229">
        <v>15000</v>
      </c>
      <c r="I229">
        <f t="shared" si="3"/>
        <v>1959.4</v>
      </c>
      <c r="J229" s="5">
        <f>(Sales_data[[#This Row],[Sales Amount]]-Sales_data[[#This Row],[TARGET]])</f>
        <v>4594</v>
      </c>
    </row>
    <row r="230" spans="1:10" x14ac:dyDescent="0.3">
      <c r="A230" s="2">
        <v>45829</v>
      </c>
      <c r="B230" s="1" t="s">
        <v>22</v>
      </c>
      <c r="C230" t="s">
        <v>23</v>
      </c>
      <c r="D230" t="s">
        <v>24</v>
      </c>
      <c r="E230" t="s">
        <v>18</v>
      </c>
      <c r="F230">
        <v>19678.8</v>
      </c>
      <c r="G230" t="s">
        <v>10</v>
      </c>
      <c r="H230">
        <v>15000</v>
      </c>
      <c r="I230">
        <f t="shared" si="3"/>
        <v>1967.88</v>
      </c>
      <c r="J230" s="5">
        <f>(Sales_data[[#This Row],[Sales Amount]]-Sales_data[[#This Row],[TARGET]])</f>
        <v>4678.7999999999993</v>
      </c>
    </row>
    <row r="231" spans="1:10" x14ac:dyDescent="0.3">
      <c r="A231" s="2">
        <v>45829</v>
      </c>
      <c r="B231" s="1" t="s">
        <v>19</v>
      </c>
      <c r="C231" t="s">
        <v>20</v>
      </c>
      <c r="D231" t="s">
        <v>21</v>
      </c>
      <c r="E231" t="s">
        <v>18</v>
      </c>
      <c r="F231">
        <v>20031.2</v>
      </c>
      <c r="G231" t="s">
        <v>12</v>
      </c>
      <c r="H231">
        <v>15000</v>
      </c>
      <c r="I231">
        <f t="shared" si="3"/>
        <v>2003.1200000000001</v>
      </c>
      <c r="J231" s="5">
        <f>(Sales_data[[#This Row],[Sales Amount]]-Sales_data[[#This Row],[TARGET]])</f>
        <v>5031.2000000000007</v>
      </c>
    </row>
    <row r="232" spans="1:10" x14ac:dyDescent="0.3">
      <c r="A232" s="2">
        <v>45829</v>
      </c>
      <c r="B232" s="1" t="s">
        <v>68</v>
      </c>
      <c r="C232" t="s">
        <v>69</v>
      </c>
      <c r="D232" t="s">
        <v>70</v>
      </c>
      <c r="E232" t="s">
        <v>18</v>
      </c>
      <c r="F232">
        <v>20076.7</v>
      </c>
      <c r="G232" t="s">
        <v>12</v>
      </c>
      <c r="H232">
        <v>15000</v>
      </c>
      <c r="I232">
        <f t="shared" si="3"/>
        <v>2007.67</v>
      </c>
      <c r="J232" s="5">
        <f>(Sales_data[[#This Row],[Sales Amount]]-Sales_data[[#This Row],[TARGET]])</f>
        <v>5076.7000000000007</v>
      </c>
    </row>
    <row r="233" spans="1:10" x14ac:dyDescent="0.3">
      <c r="A233" s="2">
        <v>45829</v>
      </c>
      <c r="B233" s="1" t="s">
        <v>19</v>
      </c>
      <c r="C233" t="s">
        <v>20</v>
      </c>
      <c r="D233" t="s">
        <v>21</v>
      </c>
      <c r="E233" t="s">
        <v>18</v>
      </c>
      <c r="F233">
        <v>20140</v>
      </c>
      <c r="G233" t="s">
        <v>12</v>
      </c>
      <c r="H233">
        <v>15000</v>
      </c>
      <c r="I233">
        <f t="shared" si="3"/>
        <v>2014</v>
      </c>
      <c r="J233" s="5">
        <f>(Sales_data[[#This Row],[Sales Amount]]-Sales_data[[#This Row],[TARGET]])</f>
        <v>5140</v>
      </c>
    </row>
    <row r="234" spans="1:10" x14ac:dyDescent="0.3">
      <c r="A234" s="2">
        <v>45829</v>
      </c>
      <c r="B234" s="1" t="s">
        <v>22</v>
      </c>
      <c r="C234" t="s">
        <v>23</v>
      </c>
      <c r="D234" t="s">
        <v>24</v>
      </c>
      <c r="E234" t="s">
        <v>18</v>
      </c>
      <c r="F234">
        <v>20916</v>
      </c>
      <c r="G234" t="s">
        <v>9</v>
      </c>
      <c r="H234">
        <v>15000</v>
      </c>
      <c r="I234">
        <f t="shared" si="3"/>
        <v>2091.6</v>
      </c>
      <c r="J234" s="5">
        <f>(Sales_data[[#This Row],[Sales Amount]]-Sales_data[[#This Row],[TARGET]])</f>
        <v>5916</v>
      </c>
    </row>
    <row r="235" spans="1:10" x14ac:dyDescent="0.3">
      <c r="A235" s="2">
        <v>45829</v>
      </c>
      <c r="B235" s="1" t="s">
        <v>62</v>
      </c>
      <c r="C235" t="s">
        <v>13</v>
      </c>
      <c r="D235" t="s">
        <v>63</v>
      </c>
      <c r="E235" t="s">
        <v>8</v>
      </c>
      <c r="F235">
        <v>16363.9</v>
      </c>
      <c r="G235" t="s">
        <v>9</v>
      </c>
      <c r="H235">
        <v>15000</v>
      </c>
      <c r="I235">
        <f t="shared" si="3"/>
        <v>1636.39</v>
      </c>
      <c r="J235" s="5">
        <f>(Sales_data[[#This Row],[Sales Amount]]-Sales_data[[#This Row],[TARGET]])</f>
        <v>1363.8999999999996</v>
      </c>
    </row>
    <row r="236" spans="1:10" x14ac:dyDescent="0.3">
      <c r="A236" s="2">
        <v>45829</v>
      </c>
      <c r="B236" s="1" t="s">
        <v>64</v>
      </c>
      <c r="C236" t="s">
        <v>11</v>
      </c>
      <c r="D236" t="s">
        <v>65</v>
      </c>
      <c r="E236" t="s">
        <v>8</v>
      </c>
      <c r="F236">
        <v>16385.599999999999</v>
      </c>
      <c r="G236" t="s">
        <v>9</v>
      </c>
      <c r="H236">
        <v>15000</v>
      </c>
      <c r="I236">
        <f t="shared" si="3"/>
        <v>1638.56</v>
      </c>
      <c r="J236" s="5">
        <f>(Sales_data[[#This Row],[Sales Amount]]-Sales_data[[#This Row],[TARGET]])</f>
        <v>1385.5999999999985</v>
      </c>
    </row>
    <row r="237" spans="1:10" x14ac:dyDescent="0.3">
      <c r="A237" s="2">
        <v>45829</v>
      </c>
      <c r="B237" s="1" t="s">
        <v>57</v>
      </c>
      <c r="C237" t="s">
        <v>58</v>
      </c>
      <c r="D237" t="s">
        <v>59</v>
      </c>
      <c r="E237" t="s">
        <v>8</v>
      </c>
      <c r="F237">
        <v>16499.400000000001</v>
      </c>
      <c r="G237" t="s">
        <v>10</v>
      </c>
      <c r="H237">
        <v>15000</v>
      </c>
      <c r="I237">
        <f t="shared" si="3"/>
        <v>1649.9400000000003</v>
      </c>
      <c r="J237" s="5">
        <f>(Sales_data[[#This Row],[Sales Amount]]-Sales_data[[#This Row],[TARGET]])</f>
        <v>1499.4000000000015</v>
      </c>
    </row>
    <row r="238" spans="1:10" x14ac:dyDescent="0.3">
      <c r="A238" s="2">
        <v>45829</v>
      </c>
      <c r="B238" s="1" t="s">
        <v>57</v>
      </c>
      <c r="C238" t="s">
        <v>58</v>
      </c>
      <c r="D238" t="s">
        <v>59</v>
      </c>
      <c r="E238" t="s">
        <v>8</v>
      </c>
      <c r="F238">
        <v>16806.400000000001</v>
      </c>
      <c r="G238" t="s">
        <v>9</v>
      </c>
      <c r="H238">
        <v>15000</v>
      </c>
      <c r="I238">
        <f t="shared" si="3"/>
        <v>1680.6400000000003</v>
      </c>
      <c r="J238" s="5">
        <f>(Sales_data[[#This Row],[Sales Amount]]-Sales_data[[#This Row],[TARGET]])</f>
        <v>1806.4000000000015</v>
      </c>
    </row>
    <row r="239" spans="1:10" x14ac:dyDescent="0.3">
      <c r="A239" s="2">
        <v>45829</v>
      </c>
      <c r="B239" s="1" t="s">
        <v>64</v>
      </c>
      <c r="C239" t="s">
        <v>11</v>
      </c>
      <c r="D239" t="s">
        <v>65</v>
      </c>
      <c r="E239" t="s">
        <v>8</v>
      </c>
      <c r="F239">
        <v>16968</v>
      </c>
      <c r="G239" t="s">
        <v>12</v>
      </c>
      <c r="H239">
        <v>15000</v>
      </c>
      <c r="I239">
        <f t="shared" si="3"/>
        <v>1696.8000000000002</v>
      </c>
      <c r="J239" s="5">
        <f>(Sales_data[[#This Row],[Sales Amount]]-Sales_data[[#This Row],[TARGET]])</f>
        <v>1968</v>
      </c>
    </row>
    <row r="240" spans="1:10" x14ac:dyDescent="0.3">
      <c r="A240" s="2">
        <v>45829</v>
      </c>
      <c r="B240" s="1" t="s">
        <v>64</v>
      </c>
      <c r="C240" t="s">
        <v>11</v>
      </c>
      <c r="D240" t="s">
        <v>65</v>
      </c>
      <c r="E240" t="s">
        <v>8</v>
      </c>
      <c r="F240">
        <v>17262</v>
      </c>
      <c r="G240" t="s">
        <v>10</v>
      </c>
      <c r="H240">
        <v>15000</v>
      </c>
      <c r="I240">
        <f t="shared" si="3"/>
        <v>1726.2</v>
      </c>
      <c r="J240" s="5">
        <f>(Sales_data[[#This Row],[Sales Amount]]-Sales_data[[#This Row],[TARGET]])</f>
        <v>2262</v>
      </c>
    </row>
    <row r="241" spans="1:10" x14ac:dyDescent="0.3">
      <c r="A241" s="2">
        <v>45829</v>
      </c>
      <c r="B241" s="1" t="s">
        <v>60</v>
      </c>
      <c r="C241" t="s">
        <v>14</v>
      </c>
      <c r="D241" t="s">
        <v>61</v>
      </c>
      <c r="E241" t="s">
        <v>8</v>
      </c>
      <c r="F241">
        <v>17748</v>
      </c>
      <c r="G241" t="s">
        <v>9</v>
      </c>
      <c r="H241">
        <v>15000</v>
      </c>
      <c r="I241">
        <f t="shared" si="3"/>
        <v>1774.8000000000002</v>
      </c>
      <c r="J241" s="5">
        <f>(Sales_data[[#This Row],[Sales Amount]]-Sales_data[[#This Row],[TARGET]])</f>
        <v>2748</v>
      </c>
    </row>
    <row r="242" spans="1:10" x14ac:dyDescent="0.3">
      <c r="A242" s="2">
        <v>45829</v>
      </c>
      <c r="B242" s="1" t="s">
        <v>62</v>
      </c>
      <c r="C242" t="s">
        <v>13</v>
      </c>
      <c r="D242" t="s">
        <v>63</v>
      </c>
      <c r="E242" t="s">
        <v>8</v>
      </c>
      <c r="F242">
        <v>17993.5</v>
      </c>
      <c r="G242" t="s">
        <v>9</v>
      </c>
      <c r="H242">
        <v>15000</v>
      </c>
      <c r="I242">
        <f t="shared" si="3"/>
        <v>1799.3500000000001</v>
      </c>
      <c r="J242" s="5">
        <f>(Sales_data[[#This Row],[Sales Amount]]-Sales_data[[#This Row],[TARGET]])</f>
        <v>2993.5</v>
      </c>
    </row>
    <row r="243" spans="1:10" x14ac:dyDescent="0.3">
      <c r="A243" s="2">
        <v>45829</v>
      </c>
      <c r="B243" s="1" t="s">
        <v>64</v>
      </c>
      <c r="C243" t="s">
        <v>11</v>
      </c>
      <c r="D243" t="s">
        <v>65</v>
      </c>
      <c r="E243" t="s">
        <v>8</v>
      </c>
      <c r="F243">
        <v>18188.400000000001</v>
      </c>
      <c r="G243" t="s">
        <v>10</v>
      </c>
      <c r="H243">
        <v>15000</v>
      </c>
      <c r="I243">
        <f t="shared" si="3"/>
        <v>1818.8400000000001</v>
      </c>
      <c r="J243" s="5">
        <f>(Sales_data[[#This Row],[Sales Amount]]-Sales_data[[#This Row],[TARGET]])</f>
        <v>3188.4000000000015</v>
      </c>
    </row>
    <row r="244" spans="1:10" x14ac:dyDescent="0.3">
      <c r="A244" s="2">
        <v>45833</v>
      </c>
      <c r="B244" s="1" t="s">
        <v>32</v>
      </c>
      <c r="C244" t="s">
        <v>33</v>
      </c>
      <c r="D244" t="s">
        <v>34</v>
      </c>
      <c r="E244" t="s">
        <v>31</v>
      </c>
      <c r="F244">
        <v>18838.400000000001</v>
      </c>
      <c r="G244" t="s">
        <v>12</v>
      </c>
      <c r="H244">
        <v>15000</v>
      </c>
      <c r="I244">
        <f t="shared" si="3"/>
        <v>1883.8400000000001</v>
      </c>
      <c r="J244" s="5">
        <f>(Sales_data[[#This Row],[Sales Amount]]-Sales_data[[#This Row],[TARGET]])</f>
        <v>3838.4000000000015</v>
      </c>
    </row>
    <row r="245" spans="1:10" x14ac:dyDescent="0.3">
      <c r="A245" s="2">
        <v>45833</v>
      </c>
      <c r="B245" s="1" t="s">
        <v>32</v>
      </c>
      <c r="C245" t="s">
        <v>33</v>
      </c>
      <c r="D245" t="s">
        <v>34</v>
      </c>
      <c r="E245" t="s">
        <v>31</v>
      </c>
      <c r="F245">
        <v>19080</v>
      </c>
      <c r="G245" t="s">
        <v>10</v>
      </c>
      <c r="H245">
        <v>15000</v>
      </c>
      <c r="I245">
        <f t="shared" si="3"/>
        <v>1908</v>
      </c>
      <c r="J245" s="5">
        <f>(Sales_data[[#This Row],[Sales Amount]]-Sales_data[[#This Row],[TARGET]])</f>
        <v>4080</v>
      </c>
    </row>
    <row r="246" spans="1:10" x14ac:dyDescent="0.3">
      <c r="A246" s="2">
        <v>45833</v>
      </c>
      <c r="B246" s="1" t="s">
        <v>28</v>
      </c>
      <c r="C246" t="s">
        <v>29</v>
      </c>
      <c r="D246" t="s">
        <v>30</v>
      </c>
      <c r="E246" t="s">
        <v>31</v>
      </c>
      <c r="F246">
        <v>19210.400000000001</v>
      </c>
      <c r="G246" t="s">
        <v>9</v>
      </c>
      <c r="H246">
        <v>15000</v>
      </c>
      <c r="I246">
        <f t="shared" si="3"/>
        <v>1921.0400000000002</v>
      </c>
      <c r="J246" s="5">
        <f>(Sales_data[[#This Row],[Sales Amount]]-Sales_data[[#This Row],[TARGET]])</f>
        <v>4210.4000000000015</v>
      </c>
    </row>
    <row r="247" spans="1:10" x14ac:dyDescent="0.3">
      <c r="A247" s="2">
        <v>45833</v>
      </c>
      <c r="B247" s="1" t="s">
        <v>35</v>
      </c>
      <c r="C247" t="s">
        <v>36</v>
      </c>
      <c r="D247" t="s">
        <v>37</v>
      </c>
      <c r="E247" t="s">
        <v>31</v>
      </c>
      <c r="F247">
        <v>19594</v>
      </c>
      <c r="G247" t="s">
        <v>10</v>
      </c>
      <c r="H247">
        <v>15000</v>
      </c>
      <c r="I247">
        <f t="shared" si="3"/>
        <v>1959.4</v>
      </c>
      <c r="J247" s="5">
        <f>(Sales_data[[#This Row],[Sales Amount]]-Sales_data[[#This Row],[TARGET]])</f>
        <v>4594</v>
      </c>
    </row>
    <row r="248" spans="1:10" x14ac:dyDescent="0.3">
      <c r="A248" s="2">
        <v>45833</v>
      </c>
      <c r="B248" s="1" t="s">
        <v>28</v>
      </c>
      <c r="C248" t="s">
        <v>29</v>
      </c>
      <c r="D248" t="s">
        <v>30</v>
      </c>
      <c r="E248" t="s">
        <v>31</v>
      </c>
      <c r="F248">
        <v>19946.2</v>
      </c>
      <c r="G248" t="s">
        <v>12</v>
      </c>
      <c r="H248">
        <v>15000</v>
      </c>
      <c r="I248">
        <f t="shared" si="3"/>
        <v>1994.6200000000001</v>
      </c>
      <c r="J248" s="5">
        <f>(Sales_data[[#This Row],[Sales Amount]]-Sales_data[[#This Row],[TARGET]])</f>
        <v>4946.2000000000007</v>
      </c>
    </row>
    <row r="249" spans="1:10" x14ac:dyDescent="0.3">
      <c r="A249" s="2">
        <v>45833</v>
      </c>
      <c r="B249" s="1" t="s">
        <v>15</v>
      </c>
      <c r="C249" t="s">
        <v>16</v>
      </c>
      <c r="D249" t="s">
        <v>17</v>
      </c>
      <c r="E249" t="s">
        <v>18</v>
      </c>
      <c r="F249">
        <v>21169.599999999999</v>
      </c>
      <c r="G249" t="s">
        <v>10</v>
      </c>
      <c r="H249">
        <v>15000</v>
      </c>
      <c r="I249">
        <f t="shared" si="3"/>
        <v>2116.96</v>
      </c>
      <c r="J249" s="5">
        <f>(Sales_data[[#This Row],[Sales Amount]]-Sales_data[[#This Row],[TARGET]])</f>
        <v>6169.5999999999985</v>
      </c>
    </row>
    <row r="250" spans="1:10" x14ac:dyDescent="0.3">
      <c r="A250" s="2">
        <v>45859</v>
      </c>
      <c r="B250" s="1" t="s">
        <v>35</v>
      </c>
      <c r="C250" t="s">
        <v>36</v>
      </c>
      <c r="D250" t="s">
        <v>37</v>
      </c>
      <c r="E250" t="s">
        <v>31</v>
      </c>
      <c r="F250">
        <v>20366.099999999999</v>
      </c>
      <c r="G250" t="s">
        <v>12</v>
      </c>
      <c r="H250">
        <v>15000</v>
      </c>
      <c r="I250">
        <f t="shared" si="3"/>
        <v>2036.61</v>
      </c>
      <c r="J250" s="5">
        <f>(Sales_data[[#This Row],[Sales Amount]]-Sales_data[[#This Row],[TARGET]])</f>
        <v>5366.0999999999985</v>
      </c>
    </row>
    <row r="251" spans="1:10" x14ac:dyDescent="0.3">
      <c r="A251" s="2">
        <v>45859</v>
      </c>
      <c r="B251" s="1" t="s">
        <v>35</v>
      </c>
      <c r="C251" t="s">
        <v>36</v>
      </c>
      <c r="D251" t="s">
        <v>37</v>
      </c>
      <c r="E251" t="s">
        <v>31</v>
      </c>
      <c r="F251">
        <v>20880</v>
      </c>
      <c r="G251" t="s">
        <v>9</v>
      </c>
      <c r="H251">
        <v>15000</v>
      </c>
      <c r="I251">
        <f t="shared" si="3"/>
        <v>2088</v>
      </c>
      <c r="J251" s="5">
        <f>(Sales_data[[#This Row],[Sales Amount]]-Sales_data[[#This Row],[TARGET]])</f>
        <v>5880</v>
      </c>
    </row>
    <row r="252" spans="1:10" x14ac:dyDescent="0.3">
      <c r="A252" s="2">
        <v>45859</v>
      </c>
      <c r="B252" s="1" t="s">
        <v>71</v>
      </c>
      <c r="C252" t="s">
        <v>72</v>
      </c>
      <c r="D252" t="s">
        <v>73</v>
      </c>
      <c r="E252" t="s">
        <v>31</v>
      </c>
      <c r="F252">
        <v>21103.3</v>
      </c>
      <c r="G252" t="s">
        <v>12</v>
      </c>
      <c r="H252">
        <v>15000</v>
      </c>
      <c r="I252">
        <f t="shared" si="3"/>
        <v>2110.33</v>
      </c>
      <c r="J252" s="5">
        <f>(Sales_data[[#This Row],[Sales Amount]]-Sales_data[[#This Row],[TARGET]])</f>
        <v>6103.2999999999993</v>
      </c>
    </row>
    <row r="253" spans="1:10" x14ac:dyDescent="0.3">
      <c r="A253" s="2">
        <v>45859</v>
      </c>
      <c r="B253" s="1" t="s">
        <v>28</v>
      </c>
      <c r="C253" t="s">
        <v>29</v>
      </c>
      <c r="D253" t="s">
        <v>30</v>
      </c>
      <c r="E253" t="s">
        <v>31</v>
      </c>
      <c r="F253">
        <v>21216</v>
      </c>
      <c r="G253" t="s">
        <v>10</v>
      </c>
      <c r="H253">
        <v>15000</v>
      </c>
      <c r="I253">
        <f t="shared" si="3"/>
        <v>2121.6</v>
      </c>
      <c r="J253" s="5">
        <f>(Sales_data[[#This Row],[Sales Amount]]-Sales_data[[#This Row],[TARGET]])</f>
        <v>6216</v>
      </c>
    </row>
    <row r="254" spans="1:10" x14ac:dyDescent="0.3">
      <c r="A254" s="2">
        <v>45859</v>
      </c>
      <c r="B254" s="1" t="s">
        <v>38</v>
      </c>
      <c r="C254" t="s">
        <v>39</v>
      </c>
      <c r="D254" t="s">
        <v>40</v>
      </c>
      <c r="E254" t="s">
        <v>31</v>
      </c>
      <c r="F254">
        <v>21295.4</v>
      </c>
      <c r="G254" t="s">
        <v>9</v>
      </c>
      <c r="H254">
        <v>15000</v>
      </c>
      <c r="I254">
        <f t="shared" si="3"/>
        <v>2129.5400000000004</v>
      </c>
      <c r="J254" s="5">
        <f>(Sales_data[[#This Row],[Sales Amount]]-Sales_data[[#This Row],[TARGET]])</f>
        <v>6295.4000000000015</v>
      </c>
    </row>
    <row r="255" spans="1:10" x14ac:dyDescent="0.3">
      <c r="A255" s="2">
        <v>45859</v>
      </c>
      <c r="B255" s="1" t="s">
        <v>38</v>
      </c>
      <c r="C255" t="s">
        <v>39</v>
      </c>
      <c r="D255" t="s">
        <v>40</v>
      </c>
      <c r="E255" t="s">
        <v>31</v>
      </c>
      <c r="F255">
        <v>21546</v>
      </c>
      <c r="G255" t="s">
        <v>9</v>
      </c>
      <c r="H255">
        <v>15000</v>
      </c>
      <c r="I255">
        <f t="shared" si="3"/>
        <v>2154.6</v>
      </c>
      <c r="J255" s="5">
        <f>(Sales_data[[#This Row],[Sales Amount]]-Sales_data[[#This Row],[TARGET]])</f>
        <v>6546</v>
      </c>
    </row>
    <row r="256" spans="1:10" x14ac:dyDescent="0.3">
      <c r="A256" s="2">
        <v>45859</v>
      </c>
      <c r="B256" s="1" t="s">
        <v>71</v>
      </c>
      <c r="C256" t="s">
        <v>72</v>
      </c>
      <c r="D256" t="s">
        <v>73</v>
      </c>
      <c r="E256" t="s">
        <v>31</v>
      </c>
      <c r="F256">
        <v>22176</v>
      </c>
      <c r="G256" t="s">
        <v>10</v>
      </c>
      <c r="H256">
        <v>15000</v>
      </c>
      <c r="I256">
        <f t="shared" si="3"/>
        <v>2217.6</v>
      </c>
      <c r="J256" s="5">
        <f>(Sales_data[[#This Row],[Sales Amount]]-Sales_data[[#This Row],[TARGET]])</f>
        <v>7176</v>
      </c>
    </row>
    <row r="257" spans="1:10" x14ac:dyDescent="0.3">
      <c r="A257" s="2">
        <v>45859</v>
      </c>
      <c r="B257" s="1" t="s">
        <v>48</v>
      </c>
      <c r="C257" t="s">
        <v>49</v>
      </c>
      <c r="D257" t="s">
        <v>50</v>
      </c>
      <c r="E257" t="s">
        <v>44</v>
      </c>
      <c r="F257">
        <v>18885.900000000001</v>
      </c>
      <c r="G257" t="s">
        <v>12</v>
      </c>
      <c r="H257">
        <v>15000</v>
      </c>
      <c r="I257">
        <f t="shared" si="3"/>
        <v>1888.5900000000001</v>
      </c>
      <c r="J257" s="5">
        <f>(Sales_data[[#This Row],[Sales Amount]]-Sales_data[[#This Row],[TARGET]])</f>
        <v>3885.9000000000015</v>
      </c>
    </row>
    <row r="258" spans="1:10" x14ac:dyDescent="0.3">
      <c r="A258" s="2">
        <v>45859</v>
      </c>
      <c r="B258" s="1" t="s">
        <v>41</v>
      </c>
      <c r="C258" t="s">
        <v>42</v>
      </c>
      <c r="D258" t="s">
        <v>43</v>
      </c>
      <c r="E258" t="s">
        <v>44</v>
      </c>
      <c r="F258">
        <v>18994.5</v>
      </c>
      <c r="G258" t="s">
        <v>10</v>
      </c>
      <c r="H258">
        <v>15000</v>
      </c>
      <c r="I258">
        <f t="shared" si="3"/>
        <v>1899.45</v>
      </c>
      <c r="J258" s="5">
        <f>(Sales_data[[#This Row],[Sales Amount]]-Sales_data[[#This Row],[TARGET]])</f>
        <v>3994.5</v>
      </c>
    </row>
    <row r="259" spans="1:10" x14ac:dyDescent="0.3">
      <c r="A259" s="2">
        <v>45859</v>
      </c>
      <c r="B259" s="1" t="s">
        <v>54</v>
      </c>
      <c r="C259" t="s">
        <v>55</v>
      </c>
      <c r="D259" t="s">
        <v>56</v>
      </c>
      <c r="E259" t="s">
        <v>44</v>
      </c>
      <c r="F259">
        <v>19147.8</v>
      </c>
      <c r="G259" t="s">
        <v>10</v>
      </c>
      <c r="H259">
        <v>15000</v>
      </c>
      <c r="I259">
        <f t="shared" ref="I259:I322" si="4">IF(F259&gt;=H259,0.1*F259,0)</f>
        <v>1914.78</v>
      </c>
      <c r="J259" s="5">
        <f>(Sales_data[[#This Row],[Sales Amount]]-Sales_data[[#This Row],[TARGET]])</f>
        <v>4147.7999999999993</v>
      </c>
    </row>
    <row r="260" spans="1:10" x14ac:dyDescent="0.3">
      <c r="A260" s="2">
        <v>45859</v>
      </c>
      <c r="B260" s="1" t="s">
        <v>51</v>
      </c>
      <c r="C260" t="s">
        <v>52</v>
      </c>
      <c r="D260" t="s">
        <v>53</v>
      </c>
      <c r="E260" t="s">
        <v>44</v>
      </c>
      <c r="F260">
        <v>20062.5</v>
      </c>
      <c r="G260" t="s">
        <v>9</v>
      </c>
      <c r="H260">
        <v>15000</v>
      </c>
      <c r="I260">
        <f t="shared" si="4"/>
        <v>2006.25</v>
      </c>
      <c r="J260" s="5">
        <f>(Sales_data[[#This Row],[Sales Amount]]-Sales_data[[#This Row],[TARGET]])</f>
        <v>5062.5</v>
      </c>
    </row>
    <row r="261" spans="1:10" x14ac:dyDescent="0.3">
      <c r="A261" s="2">
        <v>45859</v>
      </c>
      <c r="B261" s="1" t="s">
        <v>45</v>
      </c>
      <c r="C261" t="s">
        <v>46</v>
      </c>
      <c r="D261" t="s">
        <v>47</v>
      </c>
      <c r="E261" t="s">
        <v>44</v>
      </c>
      <c r="F261">
        <v>20760.3</v>
      </c>
      <c r="G261" t="s">
        <v>10</v>
      </c>
      <c r="H261">
        <v>15000</v>
      </c>
      <c r="I261">
        <f t="shared" si="4"/>
        <v>2076.0300000000002</v>
      </c>
      <c r="J261" s="5">
        <f>(Sales_data[[#This Row],[Sales Amount]]-Sales_data[[#This Row],[TARGET]])</f>
        <v>5760.2999999999993</v>
      </c>
    </row>
    <row r="262" spans="1:10" x14ac:dyDescent="0.3">
      <c r="A262" s="2">
        <v>45859</v>
      </c>
      <c r="B262" s="1" t="s">
        <v>54</v>
      </c>
      <c r="C262" t="s">
        <v>55</v>
      </c>
      <c r="D262" t="s">
        <v>56</v>
      </c>
      <c r="E262" t="s">
        <v>44</v>
      </c>
      <c r="F262">
        <v>20790</v>
      </c>
      <c r="G262" t="s">
        <v>10</v>
      </c>
      <c r="H262">
        <v>15000</v>
      </c>
      <c r="I262">
        <f t="shared" si="4"/>
        <v>2079</v>
      </c>
      <c r="J262" s="5">
        <f>(Sales_data[[#This Row],[Sales Amount]]-Sales_data[[#This Row],[TARGET]])</f>
        <v>5790</v>
      </c>
    </row>
    <row r="263" spans="1:10" x14ac:dyDescent="0.3">
      <c r="A263" s="2">
        <v>45859</v>
      </c>
      <c r="B263" s="1" t="s">
        <v>45</v>
      </c>
      <c r="C263" t="s">
        <v>46</v>
      </c>
      <c r="D263" t="s">
        <v>47</v>
      </c>
      <c r="E263" t="s">
        <v>44</v>
      </c>
      <c r="F263">
        <v>21120.400000000001</v>
      </c>
      <c r="G263" t="s">
        <v>10</v>
      </c>
      <c r="H263">
        <v>15000</v>
      </c>
      <c r="I263">
        <f t="shared" si="4"/>
        <v>2112.0400000000004</v>
      </c>
      <c r="J263" s="5">
        <f>(Sales_data[[#This Row],[Sales Amount]]-Sales_data[[#This Row],[TARGET]])</f>
        <v>6120.4000000000015</v>
      </c>
    </row>
    <row r="264" spans="1:10" x14ac:dyDescent="0.3">
      <c r="A264" s="2">
        <v>45859</v>
      </c>
      <c r="B264" s="1" t="s">
        <v>45</v>
      </c>
      <c r="C264" t="s">
        <v>46</v>
      </c>
      <c r="D264" t="s">
        <v>47</v>
      </c>
      <c r="E264" t="s">
        <v>44</v>
      </c>
      <c r="F264">
        <v>21420</v>
      </c>
      <c r="G264" t="s">
        <v>12</v>
      </c>
      <c r="H264">
        <v>15000</v>
      </c>
      <c r="I264">
        <f t="shared" si="4"/>
        <v>2142</v>
      </c>
      <c r="J264" s="5">
        <f>(Sales_data[[#This Row],[Sales Amount]]-Sales_data[[#This Row],[TARGET]])</f>
        <v>6420</v>
      </c>
    </row>
    <row r="265" spans="1:10" x14ac:dyDescent="0.3">
      <c r="A265" s="2">
        <v>45859</v>
      </c>
      <c r="B265" s="1" t="s">
        <v>22</v>
      </c>
      <c r="C265" t="s">
        <v>23</v>
      </c>
      <c r="D265" t="s">
        <v>24</v>
      </c>
      <c r="E265" t="s">
        <v>18</v>
      </c>
      <c r="F265">
        <v>21483</v>
      </c>
      <c r="G265" t="s">
        <v>12</v>
      </c>
      <c r="H265">
        <v>15000</v>
      </c>
      <c r="I265">
        <f t="shared" si="4"/>
        <v>2148.3000000000002</v>
      </c>
      <c r="J265" s="5">
        <f>(Sales_data[[#This Row],[Sales Amount]]-Sales_data[[#This Row],[TARGET]])</f>
        <v>6483</v>
      </c>
    </row>
    <row r="266" spans="1:10" x14ac:dyDescent="0.3">
      <c r="A266" s="2">
        <v>45859</v>
      </c>
      <c r="B266" s="1" t="s">
        <v>15</v>
      </c>
      <c r="C266" t="s">
        <v>16</v>
      </c>
      <c r="D266" t="s">
        <v>17</v>
      </c>
      <c r="E266" t="s">
        <v>18</v>
      </c>
      <c r="F266">
        <v>21485.200000000001</v>
      </c>
      <c r="G266" t="s">
        <v>10</v>
      </c>
      <c r="H266">
        <v>15000</v>
      </c>
      <c r="I266">
        <f t="shared" si="4"/>
        <v>2148.52</v>
      </c>
      <c r="J266" s="5">
        <f>(Sales_data[[#This Row],[Sales Amount]]-Sales_data[[#This Row],[TARGET]])</f>
        <v>6485.2000000000007</v>
      </c>
    </row>
    <row r="267" spans="1:10" x14ac:dyDescent="0.3">
      <c r="A267" s="2">
        <v>45859</v>
      </c>
      <c r="B267" s="1" t="s">
        <v>19</v>
      </c>
      <c r="C267" t="s">
        <v>20</v>
      </c>
      <c r="D267" t="s">
        <v>21</v>
      </c>
      <c r="E267" t="s">
        <v>18</v>
      </c>
      <c r="F267">
        <v>21654.400000000001</v>
      </c>
      <c r="G267" t="s">
        <v>10</v>
      </c>
      <c r="H267">
        <v>15000</v>
      </c>
      <c r="I267">
        <f t="shared" si="4"/>
        <v>2165.44</v>
      </c>
      <c r="J267" s="5">
        <f>(Sales_data[[#This Row],[Sales Amount]]-Sales_data[[#This Row],[TARGET]])</f>
        <v>6654.4000000000015</v>
      </c>
    </row>
    <row r="268" spans="1:10" x14ac:dyDescent="0.3">
      <c r="A268" s="2">
        <v>45859</v>
      </c>
      <c r="B268" s="1" t="s">
        <v>22</v>
      </c>
      <c r="C268" t="s">
        <v>23</v>
      </c>
      <c r="D268" t="s">
        <v>24</v>
      </c>
      <c r="E268" t="s">
        <v>18</v>
      </c>
      <c r="F268">
        <v>22396.5</v>
      </c>
      <c r="G268" t="s">
        <v>12</v>
      </c>
      <c r="H268">
        <v>15000</v>
      </c>
      <c r="I268">
        <f t="shared" si="4"/>
        <v>2239.65</v>
      </c>
      <c r="J268" s="5">
        <f>(Sales_data[[#This Row],[Sales Amount]]-Sales_data[[#This Row],[TARGET]])</f>
        <v>7396.5</v>
      </c>
    </row>
    <row r="269" spans="1:10" x14ac:dyDescent="0.3">
      <c r="A269" s="2">
        <v>45859</v>
      </c>
      <c r="B269" s="1" t="s">
        <v>68</v>
      </c>
      <c r="C269" t="s">
        <v>69</v>
      </c>
      <c r="D269" t="s">
        <v>70</v>
      </c>
      <c r="E269" t="s">
        <v>18</v>
      </c>
      <c r="F269">
        <v>22607.200000000001</v>
      </c>
      <c r="G269" t="s">
        <v>9</v>
      </c>
      <c r="H269">
        <v>15000</v>
      </c>
      <c r="I269">
        <f t="shared" si="4"/>
        <v>2260.7200000000003</v>
      </c>
      <c r="J269" s="5">
        <f>(Sales_data[[#This Row],[Sales Amount]]-Sales_data[[#This Row],[TARGET]])</f>
        <v>7607.2000000000007</v>
      </c>
    </row>
    <row r="270" spans="1:10" x14ac:dyDescent="0.3">
      <c r="A270" s="2">
        <v>45859</v>
      </c>
      <c r="B270" s="1" t="s">
        <v>22</v>
      </c>
      <c r="C270" t="s">
        <v>23</v>
      </c>
      <c r="D270" t="s">
        <v>24</v>
      </c>
      <c r="E270" t="s">
        <v>18</v>
      </c>
      <c r="F270">
        <v>23445</v>
      </c>
      <c r="G270" t="s">
        <v>10</v>
      </c>
      <c r="H270">
        <v>15000</v>
      </c>
      <c r="I270">
        <f t="shared" si="4"/>
        <v>2344.5</v>
      </c>
      <c r="J270" s="5">
        <f>(Sales_data[[#This Row],[Sales Amount]]-Sales_data[[#This Row],[TARGET]])</f>
        <v>8445</v>
      </c>
    </row>
    <row r="271" spans="1:10" x14ac:dyDescent="0.3">
      <c r="A271" s="2">
        <v>45859</v>
      </c>
      <c r="B271" s="1" t="s">
        <v>19</v>
      </c>
      <c r="C271" t="s">
        <v>20</v>
      </c>
      <c r="D271" t="s">
        <v>21</v>
      </c>
      <c r="E271" t="s">
        <v>18</v>
      </c>
      <c r="F271">
        <v>23849.599999999999</v>
      </c>
      <c r="G271" t="s">
        <v>9</v>
      </c>
      <c r="H271">
        <v>15000</v>
      </c>
      <c r="I271">
        <f t="shared" si="4"/>
        <v>2384.96</v>
      </c>
      <c r="J271" s="5">
        <f>(Sales_data[[#This Row],[Sales Amount]]-Sales_data[[#This Row],[TARGET]])</f>
        <v>8849.5999999999985</v>
      </c>
    </row>
    <row r="272" spans="1:10" x14ac:dyDescent="0.3">
      <c r="A272" s="2">
        <v>45859</v>
      </c>
      <c r="B272" s="1" t="s">
        <v>68</v>
      </c>
      <c r="C272" t="s">
        <v>69</v>
      </c>
      <c r="D272" t="s">
        <v>70</v>
      </c>
      <c r="E272" t="s">
        <v>18</v>
      </c>
      <c r="F272">
        <v>23882.400000000001</v>
      </c>
      <c r="G272" t="s">
        <v>12</v>
      </c>
      <c r="H272">
        <v>15000</v>
      </c>
      <c r="I272">
        <f t="shared" si="4"/>
        <v>2388.2400000000002</v>
      </c>
      <c r="J272" s="5">
        <f>(Sales_data[[#This Row],[Sales Amount]]-Sales_data[[#This Row],[TARGET]])</f>
        <v>8882.4000000000015</v>
      </c>
    </row>
    <row r="273" spans="1:10" x14ac:dyDescent="0.3">
      <c r="A273" s="2">
        <v>45859</v>
      </c>
      <c r="B273" s="1" t="s">
        <v>19</v>
      </c>
      <c r="C273" t="s">
        <v>20</v>
      </c>
      <c r="D273" t="s">
        <v>21</v>
      </c>
      <c r="E273" t="s">
        <v>18</v>
      </c>
      <c r="F273">
        <v>25633.5</v>
      </c>
      <c r="G273" t="s">
        <v>10</v>
      </c>
      <c r="H273">
        <v>15000</v>
      </c>
      <c r="I273">
        <f t="shared" si="4"/>
        <v>2563.3500000000004</v>
      </c>
      <c r="J273" s="5">
        <f>(Sales_data[[#This Row],[Sales Amount]]-Sales_data[[#This Row],[TARGET]])</f>
        <v>10633.5</v>
      </c>
    </row>
    <row r="274" spans="1:10" x14ac:dyDescent="0.3">
      <c r="A274" s="2">
        <v>45859</v>
      </c>
      <c r="B274" s="1" t="s">
        <v>64</v>
      </c>
      <c r="C274" t="s">
        <v>11</v>
      </c>
      <c r="D274" t="s">
        <v>65</v>
      </c>
      <c r="E274" t="s">
        <v>8</v>
      </c>
      <c r="F274">
        <v>18826.400000000001</v>
      </c>
      <c r="G274" t="s">
        <v>12</v>
      </c>
      <c r="H274">
        <v>15000</v>
      </c>
      <c r="I274">
        <f t="shared" si="4"/>
        <v>1882.6400000000003</v>
      </c>
      <c r="J274" s="5">
        <f>(Sales_data[[#This Row],[Sales Amount]]-Sales_data[[#This Row],[TARGET]])</f>
        <v>3826.4000000000015</v>
      </c>
    </row>
    <row r="275" spans="1:10" x14ac:dyDescent="0.3">
      <c r="A275" s="2">
        <v>45859</v>
      </c>
      <c r="B275" s="1" t="s">
        <v>62</v>
      </c>
      <c r="C275" t="s">
        <v>13</v>
      </c>
      <c r="D275" t="s">
        <v>63</v>
      </c>
      <c r="E275" t="s">
        <v>8</v>
      </c>
      <c r="F275">
        <v>19108</v>
      </c>
      <c r="G275" t="s">
        <v>10</v>
      </c>
      <c r="H275">
        <v>15000</v>
      </c>
      <c r="I275">
        <f t="shared" si="4"/>
        <v>1910.8000000000002</v>
      </c>
      <c r="J275" s="5">
        <f>(Sales_data[[#This Row],[Sales Amount]]-Sales_data[[#This Row],[TARGET]])</f>
        <v>4108</v>
      </c>
    </row>
    <row r="276" spans="1:10" x14ac:dyDescent="0.3">
      <c r="A276" s="2">
        <v>45859</v>
      </c>
      <c r="B276" s="1" t="s">
        <v>57</v>
      </c>
      <c r="C276" t="s">
        <v>58</v>
      </c>
      <c r="D276" t="s">
        <v>59</v>
      </c>
      <c r="E276" t="s">
        <v>8</v>
      </c>
      <c r="F276">
        <v>19456</v>
      </c>
      <c r="G276" t="s">
        <v>9</v>
      </c>
      <c r="H276">
        <v>15000</v>
      </c>
      <c r="I276">
        <f t="shared" si="4"/>
        <v>1945.6000000000001</v>
      </c>
      <c r="J276" s="5">
        <f>(Sales_data[[#This Row],[Sales Amount]]-Sales_data[[#This Row],[TARGET]])</f>
        <v>4456</v>
      </c>
    </row>
    <row r="277" spans="1:10" x14ac:dyDescent="0.3">
      <c r="A277" s="2">
        <v>45859</v>
      </c>
      <c r="B277" s="1" t="s">
        <v>64</v>
      </c>
      <c r="C277" t="s">
        <v>11</v>
      </c>
      <c r="D277" t="s">
        <v>65</v>
      </c>
      <c r="E277" t="s">
        <v>8</v>
      </c>
      <c r="F277">
        <v>19617.5</v>
      </c>
      <c r="G277" t="s">
        <v>12</v>
      </c>
      <c r="H277">
        <v>15000</v>
      </c>
      <c r="I277">
        <f t="shared" si="4"/>
        <v>1961.75</v>
      </c>
      <c r="J277" s="5">
        <f>(Sales_data[[#This Row],[Sales Amount]]-Sales_data[[#This Row],[TARGET]])</f>
        <v>4617.5</v>
      </c>
    </row>
    <row r="278" spans="1:10" x14ac:dyDescent="0.3">
      <c r="A278" s="2">
        <v>45859</v>
      </c>
      <c r="B278" s="1" t="s">
        <v>64</v>
      </c>
      <c r="C278" t="s">
        <v>11</v>
      </c>
      <c r="D278" t="s">
        <v>65</v>
      </c>
      <c r="E278" t="s">
        <v>8</v>
      </c>
      <c r="F278">
        <v>19836.400000000001</v>
      </c>
      <c r="G278" t="s">
        <v>9</v>
      </c>
      <c r="H278">
        <v>15000</v>
      </c>
      <c r="I278">
        <f t="shared" si="4"/>
        <v>1983.6400000000003</v>
      </c>
      <c r="J278" s="5">
        <f>(Sales_data[[#This Row],[Sales Amount]]-Sales_data[[#This Row],[TARGET]])</f>
        <v>4836.4000000000015</v>
      </c>
    </row>
    <row r="279" spans="1:10" x14ac:dyDescent="0.3">
      <c r="A279" s="2">
        <v>45859</v>
      </c>
      <c r="B279" s="1" t="s">
        <v>62</v>
      </c>
      <c r="C279" t="s">
        <v>13</v>
      </c>
      <c r="D279" t="s">
        <v>63</v>
      </c>
      <c r="E279" t="s">
        <v>8</v>
      </c>
      <c r="F279">
        <v>20128</v>
      </c>
      <c r="G279" t="s">
        <v>12</v>
      </c>
      <c r="H279">
        <v>15000</v>
      </c>
      <c r="I279">
        <f t="shared" si="4"/>
        <v>2012.8000000000002</v>
      </c>
      <c r="J279" s="5">
        <f>(Sales_data[[#This Row],[Sales Amount]]-Sales_data[[#This Row],[TARGET]])</f>
        <v>5128</v>
      </c>
    </row>
    <row r="280" spans="1:10" x14ac:dyDescent="0.3">
      <c r="A280" s="2">
        <v>45859</v>
      </c>
      <c r="B280" s="1" t="s">
        <v>62</v>
      </c>
      <c r="C280" t="s">
        <v>13</v>
      </c>
      <c r="D280" t="s">
        <v>63</v>
      </c>
      <c r="E280" t="s">
        <v>8</v>
      </c>
      <c r="F280">
        <v>20717.599999999999</v>
      </c>
      <c r="G280" t="s">
        <v>10</v>
      </c>
      <c r="H280">
        <v>15000</v>
      </c>
      <c r="I280">
        <f t="shared" si="4"/>
        <v>2071.7599999999998</v>
      </c>
      <c r="J280" s="5">
        <f>(Sales_data[[#This Row],[Sales Amount]]-Sales_data[[#This Row],[TARGET]])</f>
        <v>5717.5999999999985</v>
      </c>
    </row>
    <row r="281" spans="1:10" x14ac:dyDescent="0.3">
      <c r="A281" s="2">
        <v>45859</v>
      </c>
      <c r="B281" s="1" t="s">
        <v>60</v>
      </c>
      <c r="C281" t="s">
        <v>14</v>
      </c>
      <c r="D281" t="s">
        <v>61</v>
      </c>
      <c r="E281" t="s">
        <v>8</v>
      </c>
      <c r="F281">
        <v>20797.2</v>
      </c>
      <c r="G281" t="s">
        <v>10</v>
      </c>
      <c r="H281">
        <v>15000</v>
      </c>
      <c r="I281">
        <f t="shared" si="4"/>
        <v>2079.7200000000003</v>
      </c>
      <c r="J281" s="5">
        <f>(Sales_data[[#This Row],[Sales Amount]]-Sales_data[[#This Row],[TARGET]])</f>
        <v>5797.2000000000007</v>
      </c>
    </row>
    <row r="282" spans="1:10" x14ac:dyDescent="0.3">
      <c r="A282" s="2">
        <v>45859</v>
      </c>
      <c r="B282" s="1" t="s">
        <v>62</v>
      </c>
      <c r="C282" t="s">
        <v>13</v>
      </c>
      <c r="D282" t="s">
        <v>63</v>
      </c>
      <c r="E282" t="s">
        <v>8</v>
      </c>
      <c r="F282">
        <v>20868.400000000001</v>
      </c>
      <c r="G282" t="s">
        <v>10</v>
      </c>
      <c r="H282">
        <v>15000</v>
      </c>
      <c r="I282">
        <f t="shared" si="4"/>
        <v>2086.84</v>
      </c>
      <c r="J282" s="5">
        <f>(Sales_data[[#This Row],[Sales Amount]]-Sales_data[[#This Row],[TARGET]])</f>
        <v>5868.4000000000015</v>
      </c>
    </row>
    <row r="283" spans="1:10" x14ac:dyDescent="0.3">
      <c r="A283" s="2">
        <v>45859</v>
      </c>
      <c r="B283" s="1" t="s">
        <v>66</v>
      </c>
      <c r="C283" t="s">
        <v>7</v>
      </c>
      <c r="D283" t="s">
        <v>67</v>
      </c>
      <c r="E283" t="s">
        <v>8</v>
      </c>
      <c r="F283">
        <v>21168</v>
      </c>
      <c r="G283" t="s">
        <v>9</v>
      </c>
      <c r="H283">
        <v>15000</v>
      </c>
      <c r="I283">
        <f t="shared" si="4"/>
        <v>2116.8000000000002</v>
      </c>
      <c r="J283" s="5">
        <f>(Sales_data[[#This Row],[Sales Amount]]-Sales_data[[#This Row],[TARGET]])</f>
        <v>6168</v>
      </c>
    </row>
    <row r="284" spans="1:10" x14ac:dyDescent="0.3">
      <c r="A284" s="2">
        <v>45863</v>
      </c>
      <c r="B284" s="1" t="s">
        <v>71</v>
      </c>
      <c r="C284" t="s">
        <v>72</v>
      </c>
      <c r="D284" t="s">
        <v>73</v>
      </c>
      <c r="E284" t="s">
        <v>31</v>
      </c>
      <c r="F284">
        <v>22351.1</v>
      </c>
      <c r="G284" t="s">
        <v>12</v>
      </c>
      <c r="H284">
        <v>15000</v>
      </c>
      <c r="I284">
        <f t="shared" si="4"/>
        <v>2235.11</v>
      </c>
      <c r="J284" s="5">
        <f>(Sales_data[[#This Row],[Sales Amount]]-Sales_data[[#This Row],[TARGET]])</f>
        <v>7351.0999999999985</v>
      </c>
    </row>
    <row r="285" spans="1:10" x14ac:dyDescent="0.3">
      <c r="A285" s="2">
        <v>45863</v>
      </c>
      <c r="B285" s="1" t="s">
        <v>28</v>
      </c>
      <c r="C285" t="s">
        <v>29</v>
      </c>
      <c r="D285" t="s">
        <v>30</v>
      </c>
      <c r="E285" t="s">
        <v>31</v>
      </c>
      <c r="F285">
        <v>23076.2</v>
      </c>
      <c r="G285" t="s">
        <v>9</v>
      </c>
      <c r="H285">
        <v>15000</v>
      </c>
      <c r="I285">
        <f t="shared" si="4"/>
        <v>2307.6200000000003</v>
      </c>
      <c r="J285" s="5">
        <f>(Sales_data[[#This Row],[Sales Amount]]-Sales_data[[#This Row],[TARGET]])</f>
        <v>8076.2000000000007</v>
      </c>
    </row>
    <row r="286" spans="1:10" x14ac:dyDescent="0.3">
      <c r="A286" s="2">
        <v>45863</v>
      </c>
      <c r="B286" s="1" t="s">
        <v>35</v>
      </c>
      <c r="C286" t="s">
        <v>36</v>
      </c>
      <c r="D286" t="s">
        <v>37</v>
      </c>
      <c r="E286" t="s">
        <v>31</v>
      </c>
      <c r="F286">
        <v>24131</v>
      </c>
      <c r="G286" t="s">
        <v>10</v>
      </c>
      <c r="H286">
        <v>15000</v>
      </c>
      <c r="I286">
        <f t="shared" si="4"/>
        <v>2413.1</v>
      </c>
      <c r="J286" s="5">
        <f>(Sales_data[[#This Row],[Sales Amount]]-Sales_data[[#This Row],[TARGET]])</f>
        <v>9131</v>
      </c>
    </row>
    <row r="287" spans="1:10" x14ac:dyDescent="0.3">
      <c r="A287" s="2">
        <v>45863</v>
      </c>
      <c r="B287" s="1" t="s">
        <v>71</v>
      </c>
      <c r="C287" t="s">
        <v>72</v>
      </c>
      <c r="D287" t="s">
        <v>73</v>
      </c>
      <c r="E287" t="s">
        <v>31</v>
      </c>
      <c r="F287">
        <v>24469.599999999999</v>
      </c>
      <c r="G287" t="s">
        <v>10</v>
      </c>
      <c r="H287">
        <v>15000</v>
      </c>
      <c r="I287">
        <f t="shared" si="4"/>
        <v>2446.96</v>
      </c>
      <c r="J287" s="5">
        <f>(Sales_data[[#This Row],[Sales Amount]]-Sales_data[[#This Row],[TARGET]])</f>
        <v>9469.5999999999985</v>
      </c>
    </row>
    <row r="288" spans="1:10" x14ac:dyDescent="0.3">
      <c r="A288" s="2">
        <v>45863</v>
      </c>
      <c r="B288" s="1" t="s">
        <v>28</v>
      </c>
      <c r="C288" t="s">
        <v>29</v>
      </c>
      <c r="D288" t="s">
        <v>30</v>
      </c>
      <c r="E288" t="s">
        <v>31</v>
      </c>
      <c r="F288">
        <v>25518.799999999999</v>
      </c>
      <c r="G288" t="s">
        <v>9</v>
      </c>
      <c r="H288">
        <v>15000</v>
      </c>
      <c r="I288">
        <f t="shared" si="4"/>
        <v>2551.88</v>
      </c>
      <c r="J288" s="5">
        <f>(Sales_data[[#This Row],[Sales Amount]]-Sales_data[[#This Row],[TARGET]])</f>
        <v>10518.8</v>
      </c>
    </row>
    <row r="289" spans="1:10" x14ac:dyDescent="0.3">
      <c r="A289" s="2">
        <v>45863</v>
      </c>
      <c r="B289" s="1" t="s">
        <v>28</v>
      </c>
      <c r="C289" t="s">
        <v>29</v>
      </c>
      <c r="D289" t="s">
        <v>30</v>
      </c>
      <c r="E289" t="s">
        <v>31</v>
      </c>
      <c r="F289">
        <v>25560</v>
      </c>
      <c r="G289" t="s">
        <v>9</v>
      </c>
      <c r="H289">
        <v>15000</v>
      </c>
      <c r="I289">
        <f t="shared" si="4"/>
        <v>2556</v>
      </c>
      <c r="J289" s="5">
        <f>(Sales_data[[#This Row],[Sales Amount]]-Sales_data[[#This Row],[TARGET]])</f>
        <v>10560</v>
      </c>
    </row>
    <row r="290" spans="1:10" x14ac:dyDescent="0.3">
      <c r="A290" s="2">
        <v>45863</v>
      </c>
      <c r="B290" s="1" t="s">
        <v>54</v>
      </c>
      <c r="C290" t="s">
        <v>55</v>
      </c>
      <c r="D290" t="s">
        <v>56</v>
      </c>
      <c r="E290" t="s">
        <v>44</v>
      </c>
      <c r="F290">
        <v>21438.9</v>
      </c>
      <c r="G290" t="s">
        <v>9</v>
      </c>
      <c r="H290">
        <v>15000</v>
      </c>
      <c r="I290">
        <f t="shared" si="4"/>
        <v>2143.8900000000003</v>
      </c>
      <c r="J290" s="5">
        <f>(Sales_data[[#This Row],[Sales Amount]]-Sales_data[[#This Row],[TARGET]])</f>
        <v>6438.9000000000015</v>
      </c>
    </row>
    <row r="291" spans="1:10" x14ac:dyDescent="0.3">
      <c r="A291" s="2">
        <v>45863</v>
      </c>
      <c r="B291" s="1" t="s">
        <v>51</v>
      </c>
      <c r="C291" t="s">
        <v>52</v>
      </c>
      <c r="D291" t="s">
        <v>53</v>
      </c>
      <c r="E291" t="s">
        <v>44</v>
      </c>
      <c r="F291">
        <v>21878.5</v>
      </c>
      <c r="G291" t="s">
        <v>9</v>
      </c>
      <c r="H291">
        <v>15000</v>
      </c>
      <c r="I291">
        <f t="shared" si="4"/>
        <v>2187.85</v>
      </c>
      <c r="J291" s="5">
        <f>(Sales_data[[#This Row],[Sales Amount]]-Sales_data[[#This Row],[TARGET]])</f>
        <v>6878.5</v>
      </c>
    </row>
    <row r="292" spans="1:10" x14ac:dyDescent="0.3">
      <c r="A292" s="2">
        <v>45863</v>
      </c>
      <c r="B292" s="1" t="s">
        <v>54</v>
      </c>
      <c r="C292" t="s">
        <v>55</v>
      </c>
      <c r="D292" t="s">
        <v>56</v>
      </c>
      <c r="E292" t="s">
        <v>44</v>
      </c>
      <c r="F292">
        <v>22136.799999999999</v>
      </c>
      <c r="G292" t="s">
        <v>9</v>
      </c>
      <c r="H292">
        <v>15000</v>
      </c>
      <c r="I292">
        <f t="shared" si="4"/>
        <v>2213.6799999999998</v>
      </c>
      <c r="J292" s="5">
        <f>(Sales_data[[#This Row],[Sales Amount]]-Sales_data[[#This Row],[TARGET]])</f>
        <v>7136.7999999999993</v>
      </c>
    </row>
    <row r="293" spans="1:10" x14ac:dyDescent="0.3">
      <c r="A293" s="2">
        <v>45863</v>
      </c>
      <c r="B293" s="1" t="s">
        <v>54</v>
      </c>
      <c r="C293" t="s">
        <v>55</v>
      </c>
      <c r="D293" t="s">
        <v>56</v>
      </c>
      <c r="E293" t="s">
        <v>44</v>
      </c>
      <c r="F293">
        <v>22900.5</v>
      </c>
      <c r="G293" t="s">
        <v>9</v>
      </c>
      <c r="H293">
        <v>15000</v>
      </c>
      <c r="I293">
        <f t="shared" si="4"/>
        <v>2290.0500000000002</v>
      </c>
      <c r="J293" s="5">
        <f>(Sales_data[[#This Row],[Sales Amount]]-Sales_data[[#This Row],[TARGET]])</f>
        <v>7900.5</v>
      </c>
    </row>
    <row r="294" spans="1:10" x14ac:dyDescent="0.3">
      <c r="A294" s="2">
        <v>45863</v>
      </c>
      <c r="B294" s="1" t="s">
        <v>48</v>
      </c>
      <c r="C294" t="s">
        <v>49</v>
      </c>
      <c r="D294" t="s">
        <v>50</v>
      </c>
      <c r="E294" t="s">
        <v>44</v>
      </c>
      <c r="F294">
        <v>23014.400000000001</v>
      </c>
      <c r="G294" t="s">
        <v>9</v>
      </c>
      <c r="H294">
        <v>15000</v>
      </c>
      <c r="I294">
        <f t="shared" si="4"/>
        <v>2301.44</v>
      </c>
      <c r="J294" s="5">
        <f>(Sales_data[[#This Row],[Sales Amount]]-Sales_data[[#This Row],[TARGET]])</f>
        <v>8014.4000000000015</v>
      </c>
    </row>
    <row r="295" spans="1:10" x14ac:dyDescent="0.3">
      <c r="A295" s="2">
        <v>45890</v>
      </c>
      <c r="B295" s="1" t="s">
        <v>71</v>
      </c>
      <c r="C295" t="s">
        <v>72</v>
      </c>
      <c r="D295" t="s">
        <v>73</v>
      </c>
      <c r="E295" t="s">
        <v>31</v>
      </c>
      <c r="F295">
        <v>26773.4</v>
      </c>
      <c r="G295" t="s">
        <v>12</v>
      </c>
      <c r="H295">
        <v>15000</v>
      </c>
      <c r="I295">
        <f t="shared" si="4"/>
        <v>2677.34</v>
      </c>
      <c r="J295" s="5">
        <f>(Sales_data[[#This Row],[Sales Amount]]-Sales_data[[#This Row],[TARGET]])</f>
        <v>11773.400000000001</v>
      </c>
    </row>
    <row r="296" spans="1:10" x14ac:dyDescent="0.3">
      <c r="A296" s="2">
        <v>45890</v>
      </c>
      <c r="B296" s="1" t="s">
        <v>28</v>
      </c>
      <c r="C296" t="s">
        <v>29</v>
      </c>
      <c r="D296" t="s">
        <v>30</v>
      </c>
      <c r="E296" t="s">
        <v>31</v>
      </c>
      <c r="F296">
        <v>27676.6</v>
      </c>
      <c r="G296" t="s">
        <v>10</v>
      </c>
      <c r="H296">
        <v>15000</v>
      </c>
      <c r="I296">
        <f t="shared" si="4"/>
        <v>2767.66</v>
      </c>
      <c r="J296" s="5">
        <f>(Sales_data[[#This Row],[Sales Amount]]-Sales_data[[#This Row],[TARGET]])</f>
        <v>12676.599999999999</v>
      </c>
    </row>
    <row r="297" spans="1:10" x14ac:dyDescent="0.3">
      <c r="A297" s="2">
        <v>45890</v>
      </c>
      <c r="B297" s="1" t="s">
        <v>28</v>
      </c>
      <c r="C297" t="s">
        <v>29</v>
      </c>
      <c r="D297" t="s">
        <v>30</v>
      </c>
      <c r="E297" t="s">
        <v>31</v>
      </c>
      <c r="F297">
        <v>27930</v>
      </c>
      <c r="G297" t="s">
        <v>10</v>
      </c>
      <c r="H297">
        <v>15000</v>
      </c>
      <c r="I297">
        <f t="shared" si="4"/>
        <v>2793</v>
      </c>
      <c r="J297" s="5">
        <f>(Sales_data[[#This Row],[Sales Amount]]-Sales_data[[#This Row],[TARGET]])</f>
        <v>12930</v>
      </c>
    </row>
    <row r="298" spans="1:10" x14ac:dyDescent="0.3">
      <c r="A298" s="2">
        <v>45890</v>
      </c>
      <c r="B298" s="1" t="s">
        <v>38</v>
      </c>
      <c r="C298" t="s">
        <v>39</v>
      </c>
      <c r="D298" t="s">
        <v>40</v>
      </c>
      <c r="E298" t="s">
        <v>31</v>
      </c>
      <c r="F298">
        <v>28395</v>
      </c>
      <c r="G298" t="s">
        <v>12</v>
      </c>
      <c r="H298">
        <v>15000</v>
      </c>
      <c r="I298">
        <f t="shared" si="4"/>
        <v>2839.5</v>
      </c>
      <c r="J298" s="5">
        <f>(Sales_data[[#This Row],[Sales Amount]]-Sales_data[[#This Row],[TARGET]])</f>
        <v>13395</v>
      </c>
    </row>
    <row r="299" spans="1:10" x14ac:dyDescent="0.3">
      <c r="A299" s="2">
        <v>45890</v>
      </c>
      <c r="B299" s="1" t="s">
        <v>32</v>
      </c>
      <c r="C299" t="s">
        <v>33</v>
      </c>
      <c r="D299" t="s">
        <v>34</v>
      </c>
      <c r="E299" t="s">
        <v>31</v>
      </c>
      <c r="F299">
        <v>28464.9</v>
      </c>
      <c r="G299" t="s">
        <v>12</v>
      </c>
      <c r="H299">
        <v>15000</v>
      </c>
      <c r="I299">
        <f t="shared" si="4"/>
        <v>2846.4900000000002</v>
      </c>
      <c r="J299" s="5">
        <f>(Sales_data[[#This Row],[Sales Amount]]-Sales_data[[#This Row],[TARGET]])</f>
        <v>13464.900000000001</v>
      </c>
    </row>
    <row r="300" spans="1:10" x14ac:dyDescent="0.3">
      <c r="A300" s="2">
        <v>45890</v>
      </c>
      <c r="B300" s="1" t="s">
        <v>35</v>
      </c>
      <c r="C300" t="s">
        <v>36</v>
      </c>
      <c r="D300" t="s">
        <v>37</v>
      </c>
      <c r="E300" t="s">
        <v>31</v>
      </c>
      <c r="F300">
        <v>28761.599999999999</v>
      </c>
      <c r="G300" t="s">
        <v>12</v>
      </c>
      <c r="H300">
        <v>15000</v>
      </c>
      <c r="I300">
        <f t="shared" si="4"/>
        <v>2876.16</v>
      </c>
      <c r="J300" s="5">
        <f>(Sales_data[[#This Row],[Sales Amount]]-Sales_data[[#This Row],[TARGET]])</f>
        <v>13761.599999999999</v>
      </c>
    </row>
    <row r="301" spans="1:10" x14ac:dyDescent="0.3">
      <c r="A301" s="2">
        <v>45890</v>
      </c>
      <c r="B301" s="1" t="s">
        <v>71</v>
      </c>
      <c r="C301" t="s">
        <v>72</v>
      </c>
      <c r="D301" t="s">
        <v>73</v>
      </c>
      <c r="E301" t="s">
        <v>31</v>
      </c>
      <c r="F301">
        <v>31053.4</v>
      </c>
      <c r="G301" t="s">
        <v>9</v>
      </c>
      <c r="H301">
        <v>15000</v>
      </c>
      <c r="I301">
        <f t="shared" si="4"/>
        <v>3105.34</v>
      </c>
      <c r="J301" s="5">
        <f>(Sales_data[[#This Row],[Sales Amount]]-Sales_data[[#This Row],[TARGET]])</f>
        <v>16053.400000000001</v>
      </c>
    </row>
    <row r="302" spans="1:10" x14ac:dyDescent="0.3">
      <c r="A302" s="2">
        <v>45890</v>
      </c>
      <c r="B302" s="1" t="s">
        <v>38</v>
      </c>
      <c r="C302" t="s">
        <v>39</v>
      </c>
      <c r="D302" t="s">
        <v>40</v>
      </c>
      <c r="E302" t="s">
        <v>31</v>
      </c>
      <c r="F302">
        <v>31186.6</v>
      </c>
      <c r="G302" t="s">
        <v>9</v>
      </c>
      <c r="H302">
        <v>15000</v>
      </c>
      <c r="I302">
        <f t="shared" si="4"/>
        <v>3118.66</v>
      </c>
      <c r="J302" s="5">
        <f>(Sales_data[[#This Row],[Sales Amount]]-Sales_data[[#This Row],[TARGET]])</f>
        <v>16186.599999999999</v>
      </c>
    </row>
    <row r="303" spans="1:10" x14ac:dyDescent="0.3">
      <c r="A303" s="2">
        <v>45890</v>
      </c>
      <c r="B303" s="1" t="s">
        <v>28</v>
      </c>
      <c r="C303" t="s">
        <v>29</v>
      </c>
      <c r="D303" t="s">
        <v>30</v>
      </c>
      <c r="E303" t="s">
        <v>31</v>
      </c>
      <c r="F303">
        <v>31999.200000000001</v>
      </c>
      <c r="G303" t="s">
        <v>10</v>
      </c>
      <c r="H303">
        <v>15000</v>
      </c>
      <c r="I303">
        <f t="shared" si="4"/>
        <v>3199.92</v>
      </c>
      <c r="J303" s="5">
        <f>(Sales_data[[#This Row],[Sales Amount]]-Sales_data[[#This Row],[TARGET]])</f>
        <v>16999.2</v>
      </c>
    </row>
    <row r="304" spans="1:10" x14ac:dyDescent="0.3">
      <c r="A304" s="2">
        <v>45890</v>
      </c>
      <c r="B304" s="1" t="s">
        <v>28</v>
      </c>
      <c r="C304" t="s">
        <v>29</v>
      </c>
      <c r="D304" t="s">
        <v>30</v>
      </c>
      <c r="E304" t="s">
        <v>31</v>
      </c>
      <c r="F304">
        <v>32282.799999999999</v>
      </c>
      <c r="G304" t="s">
        <v>10</v>
      </c>
      <c r="H304">
        <v>15000</v>
      </c>
      <c r="I304">
        <f t="shared" si="4"/>
        <v>3228.28</v>
      </c>
      <c r="J304" s="5">
        <f>(Sales_data[[#This Row],[Sales Amount]]-Sales_data[[#This Row],[TARGET]])</f>
        <v>17282.8</v>
      </c>
    </row>
    <row r="305" spans="1:10" x14ac:dyDescent="0.3">
      <c r="A305" s="2">
        <v>45890</v>
      </c>
      <c r="B305" s="1" t="s">
        <v>71</v>
      </c>
      <c r="C305" t="s">
        <v>72</v>
      </c>
      <c r="D305" t="s">
        <v>73</v>
      </c>
      <c r="E305" t="s">
        <v>31</v>
      </c>
      <c r="F305">
        <v>32524.1</v>
      </c>
      <c r="G305" t="s">
        <v>9</v>
      </c>
      <c r="H305">
        <v>15000</v>
      </c>
      <c r="I305">
        <f t="shared" si="4"/>
        <v>3252.41</v>
      </c>
      <c r="J305" s="5">
        <f>(Sales_data[[#This Row],[Sales Amount]]-Sales_data[[#This Row],[TARGET]])</f>
        <v>17524.099999999999</v>
      </c>
    </row>
    <row r="306" spans="1:10" x14ac:dyDescent="0.3">
      <c r="A306" s="2">
        <v>45890</v>
      </c>
      <c r="B306" s="1" t="s">
        <v>54</v>
      </c>
      <c r="C306" t="s">
        <v>55</v>
      </c>
      <c r="D306" t="s">
        <v>56</v>
      </c>
      <c r="E306" t="s">
        <v>44</v>
      </c>
      <c r="F306">
        <v>23058</v>
      </c>
      <c r="G306" t="s">
        <v>12</v>
      </c>
      <c r="H306">
        <v>15000</v>
      </c>
      <c r="I306">
        <f t="shared" si="4"/>
        <v>2305.8000000000002</v>
      </c>
      <c r="J306" s="5">
        <f>(Sales_data[[#This Row],[Sales Amount]]-Sales_data[[#This Row],[TARGET]])</f>
        <v>8058</v>
      </c>
    </row>
    <row r="307" spans="1:10" x14ac:dyDescent="0.3">
      <c r="A307" s="2">
        <v>45890</v>
      </c>
      <c r="B307" s="1" t="s">
        <v>54</v>
      </c>
      <c r="C307" t="s">
        <v>55</v>
      </c>
      <c r="D307" t="s">
        <v>56</v>
      </c>
      <c r="E307" t="s">
        <v>44</v>
      </c>
      <c r="F307">
        <v>23240.400000000001</v>
      </c>
      <c r="G307" t="s">
        <v>10</v>
      </c>
      <c r="H307">
        <v>15000</v>
      </c>
      <c r="I307">
        <f t="shared" si="4"/>
        <v>2324.0400000000004</v>
      </c>
      <c r="J307" s="5">
        <f>(Sales_data[[#This Row],[Sales Amount]]-Sales_data[[#This Row],[TARGET]])</f>
        <v>8240.4000000000015</v>
      </c>
    </row>
    <row r="308" spans="1:10" x14ac:dyDescent="0.3">
      <c r="A308" s="2">
        <v>45890</v>
      </c>
      <c r="B308" s="1" t="s">
        <v>45</v>
      </c>
      <c r="C308" t="s">
        <v>46</v>
      </c>
      <c r="D308" t="s">
        <v>47</v>
      </c>
      <c r="E308" t="s">
        <v>44</v>
      </c>
      <c r="F308">
        <v>23997.599999999999</v>
      </c>
      <c r="G308" t="s">
        <v>9</v>
      </c>
      <c r="H308">
        <v>15000</v>
      </c>
      <c r="I308">
        <f t="shared" si="4"/>
        <v>2399.7599999999998</v>
      </c>
      <c r="J308" s="5">
        <f>(Sales_data[[#This Row],[Sales Amount]]-Sales_data[[#This Row],[TARGET]])</f>
        <v>8997.5999999999985</v>
      </c>
    </row>
    <row r="309" spans="1:10" x14ac:dyDescent="0.3">
      <c r="A309" s="2">
        <v>45890</v>
      </c>
      <c r="B309" s="1" t="s">
        <v>41</v>
      </c>
      <c r="C309" t="s">
        <v>42</v>
      </c>
      <c r="D309" t="s">
        <v>43</v>
      </c>
      <c r="E309" t="s">
        <v>44</v>
      </c>
      <c r="F309">
        <v>24080</v>
      </c>
      <c r="G309" t="s">
        <v>9</v>
      </c>
      <c r="H309">
        <v>15000</v>
      </c>
      <c r="I309">
        <f t="shared" si="4"/>
        <v>2408</v>
      </c>
      <c r="J309" s="5">
        <f>(Sales_data[[#This Row],[Sales Amount]]-Sales_data[[#This Row],[TARGET]])</f>
        <v>9080</v>
      </c>
    </row>
    <row r="310" spans="1:10" x14ac:dyDescent="0.3">
      <c r="A310" s="2">
        <v>45890</v>
      </c>
      <c r="B310" s="1" t="s">
        <v>48</v>
      </c>
      <c r="C310" t="s">
        <v>49</v>
      </c>
      <c r="D310" t="s">
        <v>50</v>
      </c>
      <c r="E310" t="s">
        <v>44</v>
      </c>
      <c r="F310">
        <v>24236</v>
      </c>
      <c r="G310" t="s">
        <v>9</v>
      </c>
      <c r="H310">
        <v>15000</v>
      </c>
      <c r="I310">
        <f t="shared" si="4"/>
        <v>2423.6</v>
      </c>
      <c r="J310" s="5">
        <f>(Sales_data[[#This Row],[Sales Amount]]-Sales_data[[#This Row],[TARGET]])</f>
        <v>9236</v>
      </c>
    </row>
    <row r="311" spans="1:10" x14ac:dyDescent="0.3">
      <c r="A311" s="2">
        <v>45890</v>
      </c>
      <c r="B311" s="1" t="s">
        <v>45</v>
      </c>
      <c r="C311" t="s">
        <v>46</v>
      </c>
      <c r="D311" t="s">
        <v>47</v>
      </c>
      <c r="E311" t="s">
        <v>44</v>
      </c>
      <c r="F311">
        <v>24544</v>
      </c>
      <c r="G311" t="s">
        <v>10</v>
      </c>
      <c r="H311">
        <v>15000</v>
      </c>
      <c r="I311">
        <f t="shared" si="4"/>
        <v>2454.4</v>
      </c>
      <c r="J311" s="5">
        <f>(Sales_data[[#This Row],[Sales Amount]]-Sales_data[[#This Row],[TARGET]])</f>
        <v>9544</v>
      </c>
    </row>
    <row r="312" spans="1:10" x14ac:dyDescent="0.3">
      <c r="A312" s="2">
        <v>45890</v>
      </c>
      <c r="B312" s="1" t="s">
        <v>54</v>
      </c>
      <c r="C312" t="s">
        <v>55</v>
      </c>
      <c r="D312" t="s">
        <v>56</v>
      </c>
      <c r="E312" t="s">
        <v>44</v>
      </c>
      <c r="F312">
        <v>24579.8</v>
      </c>
      <c r="G312" t="s">
        <v>9</v>
      </c>
      <c r="H312">
        <v>15000</v>
      </c>
      <c r="I312">
        <f t="shared" si="4"/>
        <v>2457.98</v>
      </c>
      <c r="J312" s="5">
        <f>(Sales_data[[#This Row],[Sales Amount]]-Sales_data[[#This Row],[TARGET]])</f>
        <v>9579.7999999999993</v>
      </c>
    </row>
    <row r="313" spans="1:10" x14ac:dyDescent="0.3">
      <c r="A313" s="2">
        <v>45890</v>
      </c>
      <c r="B313" s="1" t="s">
        <v>48</v>
      </c>
      <c r="C313" t="s">
        <v>49</v>
      </c>
      <c r="D313" t="s">
        <v>50</v>
      </c>
      <c r="E313" t="s">
        <v>44</v>
      </c>
      <c r="F313">
        <v>25560</v>
      </c>
      <c r="G313" t="s">
        <v>9</v>
      </c>
      <c r="H313">
        <v>15000</v>
      </c>
      <c r="I313">
        <f t="shared" si="4"/>
        <v>2556</v>
      </c>
      <c r="J313" s="5">
        <f>(Sales_data[[#This Row],[Sales Amount]]-Sales_data[[#This Row],[TARGET]])</f>
        <v>10560</v>
      </c>
    </row>
    <row r="314" spans="1:10" x14ac:dyDescent="0.3">
      <c r="A314" s="2">
        <v>45890</v>
      </c>
      <c r="B314" s="1" t="s">
        <v>54</v>
      </c>
      <c r="C314" t="s">
        <v>55</v>
      </c>
      <c r="D314" t="s">
        <v>56</v>
      </c>
      <c r="E314" t="s">
        <v>44</v>
      </c>
      <c r="F314">
        <v>25946.3</v>
      </c>
      <c r="G314" t="s">
        <v>12</v>
      </c>
      <c r="H314">
        <v>15000</v>
      </c>
      <c r="I314">
        <f t="shared" si="4"/>
        <v>2594.63</v>
      </c>
      <c r="J314" s="5">
        <f>(Sales_data[[#This Row],[Sales Amount]]-Sales_data[[#This Row],[TARGET]])</f>
        <v>10946.3</v>
      </c>
    </row>
    <row r="315" spans="1:10" x14ac:dyDescent="0.3">
      <c r="A315" s="2">
        <v>45890</v>
      </c>
      <c r="B315" s="1" t="s">
        <v>41</v>
      </c>
      <c r="C315" t="s">
        <v>42</v>
      </c>
      <c r="D315" t="s">
        <v>43</v>
      </c>
      <c r="E315" t="s">
        <v>44</v>
      </c>
      <c r="F315">
        <v>26200</v>
      </c>
      <c r="G315" t="s">
        <v>10</v>
      </c>
      <c r="H315">
        <v>15000</v>
      </c>
      <c r="I315">
        <f t="shared" si="4"/>
        <v>2620</v>
      </c>
      <c r="J315" s="5">
        <f>(Sales_data[[#This Row],[Sales Amount]]-Sales_data[[#This Row],[TARGET]])</f>
        <v>11200</v>
      </c>
    </row>
    <row r="316" spans="1:10" x14ac:dyDescent="0.3">
      <c r="A316" s="2">
        <v>45890</v>
      </c>
      <c r="B316" s="1" t="s">
        <v>51</v>
      </c>
      <c r="C316" t="s">
        <v>52</v>
      </c>
      <c r="D316" t="s">
        <v>53</v>
      </c>
      <c r="E316" t="s">
        <v>44</v>
      </c>
      <c r="F316">
        <v>26556.799999999999</v>
      </c>
      <c r="G316" t="s">
        <v>10</v>
      </c>
      <c r="H316">
        <v>15000</v>
      </c>
      <c r="I316">
        <f t="shared" si="4"/>
        <v>2655.6800000000003</v>
      </c>
      <c r="J316" s="5">
        <f>(Sales_data[[#This Row],[Sales Amount]]-Sales_data[[#This Row],[TARGET]])</f>
        <v>11556.8</v>
      </c>
    </row>
    <row r="317" spans="1:10" x14ac:dyDescent="0.3">
      <c r="A317" s="2">
        <v>45890</v>
      </c>
      <c r="B317" s="1" t="s">
        <v>41</v>
      </c>
      <c r="C317" t="s">
        <v>42</v>
      </c>
      <c r="D317" t="s">
        <v>43</v>
      </c>
      <c r="E317" t="s">
        <v>44</v>
      </c>
      <c r="F317">
        <v>27350.400000000001</v>
      </c>
      <c r="G317" t="s">
        <v>12</v>
      </c>
      <c r="H317">
        <v>15000</v>
      </c>
      <c r="I317">
        <f t="shared" si="4"/>
        <v>2735.0400000000004</v>
      </c>
      <c r="J317" s="5">
        <f>(Sales_data[[#This Row],[Sales Amount]]-Sales_data[[#This Row],[TARGET]])</f>
        <v>12350.400000000001</v>
      </c>
    </row>
    <row r="318" spans="1:10" x14ac:dyDescent="0.3">
      <c r="A318" s="2">
        <v>45890</v>
      </c>
      <c r="B318" s="1" t="s">
        <v>48</v>
      </c>
      <c r="C318" t="s">
        <v>49</v>
      </c>
      <c r="D318" t="s">
        <v>50</v>
      </c>
      <c r="E318" t="s">
        <v>44</v>
      </c>
      <c r="F318">
        <v>27531</v>
      </c>
      <c r="G318" t="s">
        <v>12</v>
      </c>
      <c r="H318">
        <v>15000</v>
      </c>
      <c r="I318">
        <f t="shared" si="4"/>
        <v>2753.1000000000004</v>
      </c>
      <c r="J318" s="5">
        <f>(Sales_data[[#This Row],[Sales Amount]]-Sales_data[[#This Row],[TARGET]])</f>
        <v>12531</v>
      </c>
    </row>
    <row r="319" spans="1:10" x14ac:dyDescent="0.3">
      <c r="A319" s="2">
        <v>45890</v>
      </c>
      <c r="B319" s="1" t="s">
        <v>51</v>
      </c>
      <c r="C319" t="s">
        <v>52</v>
      </c>
      <c r="D319" t="s">
        <v>53</v>
      </c>
      <c r="E319" t="s">
        <v>44</v>
      </c>
      <c r="F319">
        <v>28286.400000000001</v>
      </c>
      <c r="G319" t="s">
        <v>9</v>
      </c>
      <c r="H319">
        <v>15000</v>
      </c>
      <c r="I319">
        <f t="shared" si="4"/>
        <v>2828.6400000000003</v>
      </c>
      <c r="J319" s="5">
        <f>(Sales_data[[#This Row],[Sales Amount]]-Sales_data[[#This Row],[TARGET]])</f>
        <v>13286.400000000001</v>
      </c>
    </row>
    <row r="320" spans="1:10" x14ac:dyDescent="0.3">
      <c r="A320" s="2">
        <v>45890</v>
      </c>
      <c r="B320" s="1" t="s">
        <v>48</v>
      </c>
      <c r="C320" t="s">
        <v>49</v>
      </c>
      <c r="D320" t="s">
        <v>50</v>
      </c>
      <c r="E320" t="s">
        <v>44</v>
      </c>
      <c r="F320">
        <v>28616</v>
      </c>
      <c r="G320" t="s">
        <v>12</v>
      </c>
      <c r="H320">
        <v>15000</v>
      </c>
      <c r="I320">
        <f t="shared" si="4"/>
        <v>2861.6000000000004</v>
      </c>
      <c r="J320" s="5">
        <f>(Sales_data[[#This Row],[Sales Amount]]-Sales_data[[#This Row],[TARGET]])</f>
        <v>13616</v>
      </c>
    </row>
    <row r="321" spans="1:10" x14ac:dyDescent="0.3">
      <c r="A321" s="2">
        <v>45890</v>
      </c>
      <c r="B321" s="1" t="s">
        <v>15</v>
      </c>
      <c r="C321" t="s">
        <v>16</v>
      </c>
      <c r="D321" t="s">
        <v>17</v>
      </c>
      <c r="E321" t="s">
        <v>18</v>
      </c>
      <c r="F321">
        <v>26546.6</v>
      </c>
      <c r="G321" t="s">
        <v>10</v>
      </c>
      <c r="H321">
        <v>15000</v>
      </c>
      <c r="I321">
        <f t="shared" si="4"/>
        <v>2654.66</v>
      </c>
      <c r="J321" s="5">
        <f>(Sales_data[[#This Row],[Sales Amount]]-Sales_data[[#This Row],[TARGET]])</f>
        <v>11546.599999999999</v>
      </c>
    </row>
    <row r="322" spans="1:10" x14ac:dyDescent="0.3">
      <c r="A322" s="2">
        <v>45890</v>
      </c>
      <c r="B322" s="1" t="s">
        <v>68</v>
      </c>
      <c r="C322" t="s">
        <v>69</v>
      </c>
      <c r="D322" t="s">
        <v>70</v>
      </c>
      <c r="E322" t="s">
        <v>18</v>
      </c>
      <c r="F322">
        <v>27930</v>
      </c>
      <c r="G322" t="s">
        <v>9</v>
      </c>
      <c r="H322">
        <v>15000</v>
      </c>
      <c r="I322">
        <f t="shared" si="4"/>
        <v>2793</v>
      </c>
      <c r="J322" s="5">
        <f>(Sales_data[[#This Row],[Sales Amount]]-Sales_data[[#This Row],[TARGET]])</f>
        <v>12930</v>
      </c>
    </row>
    <row r="323" spans="1:10" x14ac:dyDescent="0.3">
      <c r="A323" s="2">
        <v>45890</v>
      </c>
      <c r="B323" s="1" t="s">
        <v>22</v>
      </c>
      <c r="C323" t="s">
        <v>23</v>
      </c>
      <c r="D323" t="s">
        <v>24</v>
      </c>
      <c r="E323" t="s">
        <v>18</v>
      </c>
      <c r="F323">
        <v>29158.400000000001</v>
      </c>
      <c r="G323" t="s">
        <v>10</v>
      </c>
      <c r="H323">
        <v>15000</v>
      </c>
      <c r="I323">
        <f t="shared" ref="I323:I386" si="5">IF(F323&gt;=H323,0.1*F323,0)</f>
        <v>2915.84</v>
      </c>
      <c r="J323" s="5">
        <f>(Sales_data[[#This Row],[Sales Amount]]-Sales_data[[#This Row],[TARGET]])</f>
        <v>14158.400000000001</v>
      </c>
    </row>
    <row r="324" spans="1:10" x14ac:dyDescent="0.3">
      <c r="A324" s="2">
        <v>45890</v>
      </c>
      <c r="B324" s="1" t="s">
        <v>19</v>
      </c>
      <c r="C324" t="s">
        <v>20</v>
      </c>
      <c r="D324" t="s">
        <v>21</v>
      </c>
      <c r="E324" t="s">
        <v>18</v>
      </c>
      <c r="F324">
        <v>30305</v>
      </c>
      <c r="G324" t="s">
        <v>9</v>
      </c>
      <c r="H324">
        <v>15000</v>
      </c>
      <c r="I324">
        <f t="shared" si="5"/>
        <v>3030.5</v>
      </c>
      <c r="J324" s="5">
        <f>(Sales_data[[#This Row],[Sales Amount]]-Sales_data[[#This Row],[TARGET]])</f>
        <v>15305</v>
      </c>
    </row>
    <row r="325" spans="1:10" x14ac:dyDescent="0.3">
      <c r="A325" s="2">
        <v>45890</v>
      </c>
      <c r="B325" s="1" t="s">
        <v>25</v>
      </c>
      <c r="C325" t="s">
        <v>26</v>
      </c>
      <c r="D325" t="s">
        <v>27</v>
      </c>
      <c r="E325" t="s">
        <v>18</v>
      </c>
      <c r="F325">
        <v>30776.799999999999</v>
      </c>
      <c r="G325" t="s">
        <v>9</v>
      </c>
      <c r="H325">
        <v>15000</v>
      </c>
      <c r="I325">
        <f t="shared" si="5"/>
        <v>3077.6800000000003</v>
      </c>
      <c r="J325" s="5">
        <f>(Sales_data[[#This Row],[Sales Amount]]-Sales_data[[#This Row],[TARGET]])</f>
        <v>15776.8</v>
      </c>
    </row>
    <row r="326" spans="1:10" x14ac:dyDescent="0.3">
      <c r="A326" s="2">
        <v>45890</v>
      </c>
      <c r="B326" s="1" t="s">
        <v>15</v>
      </c>
      <c r="C326" t="s">
        <v>16</v>
      </c>
      <c r="D326" t="s">
        <v>17</v>
      </c>
      <c r="E326" t="s">
        <v>18</v>
      </c>
      <c r="F326">
        <v>31200</v>
      </c>
      <c r="G326" t="s">
        <v>10</v>
      </c>
      <c r="H326">
        <v>15000</v>
      </c>
      <c r="I326">
        <f t="shared" si="5"/>
        <v>3120</v>
      </c>
      <c r="J326" s="5">
        <f>(Sales_data[[#This Row],[Sales Amount]]-Sales_data[[#This Row],[TARGET]])</f>
        <v>16200</v>
      </c>
    </row>
    <row r="327" spans="1:10" x14ac:dyDescent="0.3">
      <c r="A327" s="2">
        <v>45890</v>
      </c>
      <c r="B327" s="1" t="s">
        <v>25</v>
      </c>
      <c r="C327" t="s">
        <v>26</v>
      </c>
      <c r="D327" t="s">
        <v>27</v>
      </c>
      <c r="E327" t="s">
        <v>18</v>
      </c>
      <c r="F327">
        <v>31970.799999999999</v>
      </c>
      <c r="G327" t="s">
        <v>9</v>
      </c>
      <c r="H327">
        <v>15000</v>
      </c>
      <c r="I327">
        <f t="shared" si="5"/>
        <v>3197.08</v>
      </c>
      <c r="J327" s="5">
        <f>(Sales_data[[#This Row],[Sales Amount]]-Sales_data[[#This Row],[TARGET]])</f>
        <v>16970.8</v>
      </c>
    </row>
    <row r="328" spans="1:10" x14ac:dyDescent="0.3">
      <c r="A328" s="2">
        <v>45890</v>
      </c>
      <c r="B328" s="1" t="s">
        <v>64</v>
      </c>
      <c r="C328" t="s">
        <v>11</v>
      </c>
      <c r="D328" t="s">
        <v>65</v>
      </c>
      <c r="E328" t="s">
        <v>8</v>
      </c>
      <c r="F328">
        <v>22477.9</v>
      </c>
      <c r="G328" t="s">
        <v>10</v>
      </c>
      <c r="H328">
        <v>15000</v>
      </c>
      <c r="I328">
        <f t="shared" si="5"/>
        <v>2247.7900000000004</v>
      </c>
      <c r="J328" s="5">
        <f>(Sales_data[[#This Row],[Sales Amount]]-Sales_data[[#This Row],[TARGET]])</f>
        <v>7477.9000000000015</v>
      </c>
    </row>
    <row r="329" spans="1:10" x14ac:dyDescent="0.3">
      <c r="A329" s="2">
        <v>45890</v>
      </c>
      <c r="B329" s="1" t="s">
        <v>60</v>
      </c>
      <c r="C329" t="s">
        <v>14</v>
      </c>
      <c r="D329" t="s">
        <v>61</v>
      </c>
      <c r="E329" t="s">
        <v>8</v>
      </c>
      <c r="F329">
        <v>23364</v>
      </c>
      <c r="G329" t="s">
        <v>10</v>
      </c>
      <c r="H329">
        <v>15000</v>
      </c>
      <c r="I329">
        <f t="shared" si="5"/>
        <v>2336.4</v>
      </c>
      <c r="J329" s="5">
        <f>(Sales_data[[#This Row],[Sales Amount]]-Sales_data[[#This Row],[TARGET]])</f>
        <v>8364</v>
      </c>
    </row>
    <row r="330" spans="1:10" x14ac:dyDescent="0.3">
      <c r="A330" s="2">
        <v>45890</v>
      </c>
      <c r="B330" s="1" t="s">
        <v>64</v>
      </c>
      <c r="C330" t="s">
        <v>11</v>
      </c>
      <c r="D330" t="s">
        <v>65</v>
      </c>
      <c r="E330" t="s">
        <v>8</v>
      </c>
      <c r="F330">
        <v>23997.599999999999</v>
      </c>
      <c r="G330" t="s">
        <v>9</v>
      </c>
      <c r="H330">
        <v>15000</v>
      </c>
      <c r="I330">
        <f t="shared" si="5"/>
        <v>2399.7599999999998</v>
      </c>
      <c r="J330" s="5">
        <f>(Sales_data[[#This Row],[Sales Amount]]-Sales_data[[#This Row],[TARGET]])</f>
        <v>8997.5999999999985</v>
      </c>
    </row>
    <row r="331" spans="1:10" x14ac:dyDescent="0.3">
      <c r="A331" s="2">
        <v>45890</v>
      </c>
      <c r="B331" s="1" t="s">
        <v>62</v>
      </c>
      <c r="C331" t="s">
        <v>13</v>
      </c>
      <c r="D331" t="s">
        <v>63</v>
      </c>
      <c r="E331" t="s">
        <v>8</v>
      </c>
      <c r="F331">
        <v>24395.1</v>
      </c>
      <c r="G331" t="s">
        <v>9</v>
      </c>
      <c r="H331">
        <v>15000</v>
      </c>
      <c r="I331">
        <f t="shared" si="5"/>
        <v>2439.5099999999998</v>
      </c>
      <c r="J331" s="5">
        <f>(Sales_data[[#This Row],[Sales Amount]]-Sales_data[[#This Row],[TARGET]])</f>
        <v>9395.0999999999985</v>
      </c>
    </row>
    <row r="332" spans="1:10" x14ac:dyDescent="0.3">
      <c r="A332" s="2">
        <v>45890</v>
      </c>
      <c r="B332" s="1" t="s">
        <v>60</v>
      </c>
      <c r="C332" t="s">
        <v>14</v>
      </c>
      <c r="D332" t="s">
        <v>61</v>
      </c>
      <c r="E332" t="s">
        <v>8</v>
      </c>
      <c r="F332">
        <v>25102.400000000001</v>
      </c>
      <c r="G332" t="s">
        <v>10</v>
      </c>
      <c r="H332">
        <v>15000</v>
      </c>
      <c r="I332">
        <f t="shared" si="5"/>
        <v>2510.2400000000002</v>
      </c>
      <c r="J332" s="5">
        <f>(Sales_data[[#This Row],[Sales Amount]]-Sales_data[[#This Row],[TARGET]])</f>
        <v>10102.400000000001</v>
      </c>
    </row>
    <row r="333" spans="1:10" x14ac:dyDescent="0.3">
      <c r="A333" s="2">
        <v>45894</v>
      </c>
      <c r="B333" s="1" t="s">
        <v>41</v>
      </c>
      <c r="C333" t="s">
        <v>42</v>
      </c>
      <c r="D333" t="s">
        <v>43</v>
      </c>
      <c r="E333" t="s">
        <v>44</v>
      </c>
      <c r="F333">
        <v>28628.799999999999</v>
      </c>
      <c r="G333" t="s">
        <v>12</v>
      </c>
      <c r="H333">
        <v>15000</v>
      </c>
      <c r="I333">
        <f t="shared" si="5"/>
        <v>2862.88</v>
      </c>
      <c r="J333" s="5">
        <f>(Sales_data[[#This Row],[Sales Amount]]-Sales_data[[#This Row],[TARGET]])</f>
        <v>13628.8</v>
      </c>
    </row>
    <row r="334" spans="1:10" x14ac:dyDescent="0.3">
      <c r="A334" s="2">
        <v>45894</v>
      </c>
      <c r="B334" s="1" t="s">
        <v>48</v>
      </c>
      <c r="C334" t="s">
        <v>49</v>
      </c>
      <c r="D334" t="s">
        <v>50</v>
      </c>
      <c r="E334" t="s">
        <v>44</v>
      </c>
      <c r="F334">
        <v>28845</v>
      </c>
      <c r="G334" t="s">
        <v>10</v>
      </c>
      <c r="H334">
        <v>15000</v>
      </c>
      <c r="I334">
        <f t="shared" si="5"/>
        <v>2884.5</v>
      </c>
      <c r="J334" s="5">
        <f>(Sales_data[[#This Row],[Sales Amount]]-Sales_data[[#This Row],[TARGET]])</f>
        <v>13845</v>
      </c>
    </row>
    <row r="335" spans="1:10" x14ac:dyDescent="0.3">
      <c r="A335" s="2">
        <v>45894</v>
      </c>
      <c r="B335" s="1" t="s">
        <v>41</v>
      </c>
      <c r="C335" t="s">
        <v>42</v>
      </c>
      <c r="D335" t="s">
        <v>43</v>
      </c>
      <c r="E335" t="s">
        <v>44</v>
      </c>
      <c r="F335">
        <v>30368</v>
      </c>
      <c r="G335" t="s">
        <v>10</v>
      </c>
      <c r="H335">
        <v>15000</v>
      </c>
      <c r="I335">
        <f t="shared" si="5"/>
        <v>3036.8</v>
      </c>
      <c r="J335" s="5">
        <f>(Sales_data[[#This Row],[Sales Amount]]-Sales_data[[#This Row],[TARGET]])</f>
        <v>15368</v>
      </c>
    </row>
    <row r="336" spans="1:10" x14ac:dyDescent="0.3">
      <c r="A336" s="2">
        <v>45894</v>
      </c>
      <c r="B336" s="1" t="s">
        <v>45</v>
      </c>
      <c r="C336" t="s">
        <v>46</v>
      </c>
      <c r="D336" t="s">
        <v>47</v>
      </c>
      <c r="E336" t="s">
        <v>44</v>
      </c>
      <c r="F336">
        <v>30377.4</v>
      </c>
      <c r="G336" t="s">
        <v>12</v>
      </c>
      <c r="H336">
        <v>15000</v>
      </c>
      <c r="I336">
        <f t="shared" si="5"/>
        <v>3037.7400000000002</v>
      </c>
      <c r="J336" s="5">
        <f>(Sales_data[[#This Row],[Sales Amount]]-Sales_data[[#This Row],[TARGET]])</f>
        <v>15377.400000000001</v>
      </c>
    </row>
    <row r="337" spans="1:10" x14ac:dyDescent="0.3">
      <c r="A337" s="2">
        <v>45894</v>
      </c>
      <c r="B337" s="1" t="s">
        <v>66</v>
      </c>
      <c r="C337" t="s">
        <v>7</v>
      </c>
      <c r="D337" t="s">
        <v>67</v>
      </c>
      <c r="E337" t="s">
        <v>8</v>
      </c>
      <c r="F337">
        <v>26866</v>
      </c>
      <c r="G337" t="s">
        <v>12</v>
      </c>
      <c r="H337">
        <v>15000</v>
      </c>
      <c r="I337">
        <f t="shared" si="5"/>
        <v>2686.6000000000004</v>
      </c>
      <c r="J337" s="5">
        <f>(Sales_data[[#This Row],[Sales Amount]]-Sales_data[[#This Row],[TARGET]])</f>
        <v>11866</v>
      </c>
    </row>
    <row r="338" spans="1:10" x14ac:dyDescent="0.3">
      <c r="A338" s="2">
        <v>45894</v>
      </c>
      <c r="B338" s="1" t="s">
        <v>60</v>
      </c>
      <c r="C338" t="s">
        <v>14</v>
      </c>
      <c r="D338" t="s">
        <v>61</v>
      </c>
      <c r="E338" t="s">
        <v>8</v>
      </c>
      <c r="F338">
        <v>27670.9</v>
      </c>
      <c r="G338" t="s">
        <v>12</v>
      </c>
      <c r="H338">
        <v>15000</v>
      </c>
      <c r="I338">
        <f t="shared" si="5"/>
        <v>2767.09</v>
      </c>
      <c r="J338" s="5">
        <f>(Sales_data[[#This Row],[Sales Amount]]-Sales_data[[#This Row],[TARGET]])</f>
        <v>12670.900000000001</v>
      </c>
    </row>
    <row r="339" spans="1:10" x14ac:dyDescent="0.3">
      <c r="A339" s="2">
        <v>45894</v>
      </c>
      <c r="B339" s="1" t="s">
        <v>66</v>
      </c>
      <c r="C339" t="s">
        <v>7</v>
      </c>
      <c r="D339" t="s">
        <v>67</v>
      </c>
      <c r="E339" t="s">
        <v>8</v>
      </c>
      <c r="F339">
        <v>27916.400000000001</v>
      </c>
      <c r="G339" t="s">
        <v>12</v>
      </c>
      <c r="H339">
        <v>15000</v>
      </c>
      <c r="I339">
        <f t="shared" si="5"/>
        <v>2791.6400000000003</v>
      </c>
      <c r="J339" s="5">
        <f>(Sales_data[[#This Row],[Sales Amount]]-Sales_data[[#This Row],[TARGET]])</f>
        <v>12916.400000000001</v>
      </c>
    </row>
    <row r="340" spans="1:10" x14ac:dyDescent="0.3">
      <c r="A340" s="2">
        <v>45894</v>
      </c>
      <c r="B340" s="1" t="s">
        <v>60</v>
      </c>
      <c r="C340" t="s">
        <v>14</v>
      </c>
      <c r="D340" t="s">
        <v>61</v>
      </c>
      <c r="E340" t="s">
        <v>8</v>
      </c>
      <c r="F340">
        <v>27956.799999999999</v>
      </c>
      <c r="G340" t="s">
        <v>10</v>
      </c>
      <c r="H340">
        <v>15000</v>
      </c>
      <c r="I340">
        <f t="shared" si="5"/>
        <v>2795.6800000000003</v>
      </c>
      <c r="J340" s="5">
        <f>(Sales_data[[#This Row],[Sales Amount]]-Sales_data[[#This Row],[TARGET]])</f>
        <v>12956.8</v>
      </c>
    </row>
    <row r="341" spans="1:10" x14ac:dyDescent="0.3">
      <c r="A341" s="2">
        <v>45921</v>
      </c>
      <c r="B341" s="1" t="s">
        <v>28</v>
      </c>
      <c r="C341" t="s">
        <v>29</v>
      </c>
      <c r="D341" t="s">
        <v>30</v>
      </c>
      <c r="E341" t="s">
        <v>31</v>
      </c>
      <c r="F341">
        <v>34353.5</v>
      </c>
      <c r="G341" t="s">
        <v>10</v>
      </c>
      <c r="H341">
        <v>15000</v>
      </c>
      <c r="I341">
        <f t="shared" si="5"/>
        <v>3435.3500000000004</v>
      </c>
      <c r="J341" s="5">
        <f>(Sales_data[[#This Row],[Sales Amount]]-Sales_data[[#This Row],[TARGET]])</f>
        <v>19353.5</v>
      </c>
    </row>
    <row r="342" spans="1:10" x14ac:dyDescent="0.3">
      <c r="A342" s="2">
        <v>45921</v>
      </c>
      <c r="B342" s="1" t="s">
        <v>28</v>
      </c>
      <c r="C342" t="s">
        <v>29</v>
      </c>
      <c r="D342" t="s">
        <v>30</v>
      </c>
      <c r="E342" t="s">
        <v>31</v>
      </c>
      <c r="F342">
        <v>35153.800000000003</v>
      </c>
      <c r="G342" t="s">
        <v>9</v>
      </c>
      <c r="H342">
        <v>15000</v>
      </c>
      <c r="I342">
        <f t="shared" si="5"/>
        <v>3515.3800000000006</v>
      </c>
      <c r="J342" s="5">
        <f>(Sales_data[[#This Row],[Sales Amount]]-Sales_data[[#This Row],[TARGET]])</f>
        <v>20153.800000000003</v>
      </c>
    </row>
    <row r="343" spans="1:10" x14ac:dyDescent="0.3">
      <c r="A343" s="2">
        <v>45921</v>
      </c>
      <c r="B343" s="1" t="s">
        <v>28</v>
      </c>
      <c r="C343" t="s">
        <v>29</v>
      </c>
      <c r="D343" t="s">
        <v>30</v>
      </c>
      <c r="E343" t="s">
        <v>31</v>
      </c>
      <c r="F343">
        <v>35820</v>
      </c>
      <c r="G343" t="s">
        <v>12</v>
      </c>
      <c r="H343">
        <v>15000</v>
      </c>
      <c r="I343">
        <f t="shared" si="5"/>
        <v>3582</v>
      </c>
      <c r="J343" s="5">
        <f>(Sales_data[[#This Row],[Sales Amount]]-Sales_data[[#This Row],[TARGET]])</f>
        <v>20820</v>
      </c>
    </row>
    <row r="344" spans="1:10" x14ac:dyDescent="0.3">
      <c r="A344" s="2">
        <v>45921</v>
      </c>
      <c r="B344" s="1" t="s">
        <v>38</v>
      </c>
      <c r="C344" t="s">
        <v>39</v>
      </c>
      <c r="D344" t="s">
        <v>40</v>
      </c>
      <c r="E344" t="s">
        <v>31</v>
      </c>
      <c r="F344">
        <v>37520</v>
      </c>
      <c r="G344" t="s">
        <v>10</v>
      </c>
      <c r="H344">
        <v>15000</v>
      </c>
      <c r="I344">
        <f t="shared" si="5"/>
        <v>3752</v>
      </c>
      <c r="J344" s="5">
        <f>(Sales_data[[#This Row],[Sales Amount]]-Sales_data[[#This Row],[TARGET]])</f>
        <v>22520</v>
      </c>
    </row>
    <row r="345" spans="1:10" x14ac:dyDescent="0.3">
      <c r="A345" s="2">
        <v>45921</v>
      </c>
      <c r="B345" s="1" t="s">
        <v>38</v>
      </c>
      <c r="C345" t="s">
        <v>39</v>
      </c>
      <c r="D345" t="s">
        <v>40</v>
      </c>
      <c r="E345" t="s">
        <v>31</v>
      </c>
      <c r="F345">
        <v>37544.800000000003</v>
      </c>
      <c r="G345" t="s">
        <v>9</v>
      </c>
      <c r="H345">
        <v>15000</v>
      </c>
      <c r="I345">
        <f t="shared" si="5"/>
        <v>3754.4800000000005</v>
      </c>
      <c r="J345" s="5">
        <f>(Sales_data[[#This Row],[Sales Amount]]-Sales_data[[#This Row],[TARGET]])</f>
        <v>22544.800000000003</v>
      </c>
    </row>
    <row r="346" spans="1:10" x14ac:dyDescent="0.3">
      <c r="A346" s="2">
        <v>45921</v>
      </c>
      <c r="B346" s="1" t="s">
        <v>54</v>
      </c>
      <c r="C346" t="s">
        <v>55</v>
      </c>
      <c r="D346" t="s">
        <v>56</v>
      </c>
      <c r="E346" t="s">
        <v>44</v>
      </c>
      <c r="F346">
        <v>32795.699999999997</v>
      </c>
      <c r="G346" t="s">
        <v>10</v>
      </c>
      <c r="H346">
        <v>15000</v>
      </c>
      <c r="I346">
        <f t="shared" si="5"/>
        <v>3279.5699999999997</v>
      </c>
      <c r="J346" s="5">
        <f>(Sales_data[[#This Row],[Sales Amount]]-Sales_data[[#This Row],[TARGET]])</f>
        <v>17795.699999999997</v>
      </c>
    </row>
    <row r="347" spans="1:10" x14ac:dyDescent="0.3">
      <c r="A347" s="2">
        <v>45921</v>
      </c>
      <c r="B347" s="1" t="s">
        <v>51</v>
      </c>
      <c r="C347" t="s">
        <v>52</v>
      </c>
      <c r="D347" t="s">
        <v>53</v>
      </c>
      <c r="E347" t="s">
        <v>44</v>
      </c>
      <c r="F347">
        <v>33132.6</v>
      </c>
      <c r="G347" t="s">
        <v>12</v>
      </c>
      <c r="H347">
        <v>15000</v>
      </c>
      <c r="I347">
        <f t="shared" si="5"/>
        <v>3313.26</v>
      </c>
      <c r="J347" s="5">
        <f>(Sales_data[[#This Row],[Sales Amount]]-Sales_data[[#This Row],[TARGET]])</f>
        <v>18132.599999999999</v>
      </c>
    </row>
    <row r="348" spans="1:10" x14ac:dyDescent="0.3">
      <c r="A348" s="2">
        <v>45921</v>
      </c>
      <c r="B348" s="1" t="s">
        <v>48</v>
      </c>
      <c r="C348" t="s">
        <v>49</v>
      </c>
      <c r="D348" t="s">
        <v>50</v>
      </c>
      <c r="E348" t="s">
        <v>44</v>
      </c>
      <c r="F348">
        <v>35351</v>
      </c>
      <c r="G348" t="s">
        <v>10</v>
      </c>
      <c r="H348">
        <v>15000</v>
      </c>
      <c r="I348">
        <f t="shared" si="5"/>
        <v>3535.1000000000004</v>
      </c>
      <c r="J348" s="5">
        <f>(Sales_data[[#This Row],[Sales Amount]]-Sales_data[[#This Row],[TARGET]])</f>
        <v>20351</v>
      </c>
    </row>
    <row r="349" spans="1:10" x14ac:dyDescent="0.3">
      <c r="A349" s="2">
        <v>45921</v>
      </c>
      <c r="B349" s="1" t="s">
        <v>48</v>
      </c>
      <c r="C349" t="s">
        <v>49</v>
      </c>
      <c r="D349" t="s">
        <v>50</v>
      </c>
      <c r="E349" t="s">
        <v>44</v>
      </c>
      <c r="F349">
        <v>35640</v>
      </c>
      <c r="G349" t="s">
        <v>9</v>
      </c>
      <c r="H349">
        <v>15000</v>
      </c>
      <c r="I349">
        <f t="shared" si="5"/>
        <v>3564</v>
      </c>
      <c r="J349" s="5">
        <f>(Sales_data[[#This Row],[Sales Amount]]-Sales_data[[#This Row],[TARGET]])</f>
        <v>20640</v>
      </c>
    </row>
    <row r="350" spans="1:10" x14ac:dyDescent="0.3">
      <c r="A350" s="2">
        <v>45921</v>
      </c>
      <c r="B350" s="1" t="s">
        <v>45</v>
      </c>
      <c r="C350" t="s">
        <v>46</v>
      </c>
      <c r="D350" t="s">
        <v>47</v>
      </c>
      <c r="E350" t="s">
        <v>44</v>
      </c>
      <c r="F350">
        <v>35695</v>
      </c>
      <c r="G350" t="s">
        <v>10</v>
      </c>
      <c r="H350">
        <v>15000</v>
      </c>
      <c r="I350">
        <f t="shared" si="5"/>
        <v>3569.5</v>
      </c>
      <c r="J350" s="5">
        <f>(Sales_data[[#This Row],[Sales Amount]]-Sales_data[[#This Row],[TARGET]])</f>
        <v>20695</v>
      </c>
    </row>
    <row r="351" spans="1:10" x14ac:dyDescent="0.3">
      <c r="A351" s="2">
        <v>45921</v>
      </c>
      <c r="B351" s="1" t="s">
        <v>41</v>
      </c>
      <c r="C351" t="s">
        <v>42</v>
      </c>
      <c r="D351" t="s">
        <v>43</v>
      </c>
      <c r="E351" t="s">
        <v>44</v>
      </c>
      <c r="F351">
        <v>35715.4</v>
      </c>
      <c r="G351" t="s">
        <v>10</v>
      </c>
      <c r="H351">
        <v>15000</v>
      </c>
      <c r="I351">
        <f t="shared" si="5"/>
        <v>3571.5400000000004</v>
      </c>
      <c r="J351" s="5">
        <f>(Sales_data[[#This Row],[Sales Amount]]-Sales_data[[#This Row],[TARGET]])</f>
        <v>20715.400000000001</v>
      </c>
    </row>
    <row r="352" spans="1:10" x14ac:dyDescent="0.3">
      <c r="A352" s="2">
        <v>45921</v>
      </c>
      <c r="B352" s="1" t="s">
        <v>45</v>
      </c>
      <c r="C352" t="s">
        <v>46</v>
      </c>
      <c r="D352" t="s">
        <v>47</v>
      </c>
      <c r="E352" t="s">
        <v>44</v>
      </c>
      <c r="F352">
        <v>35715.4</v>
      </c>
      <c r="G352" t="s">
        <v>12</v>
      </c>
      <c r="H352">
        <v>15000</v>
      </c>
      <c r="I352">
        <f t="shared" si="5"/>
        <v>3571.5400000000004</v>
      </c>
      <c r="J352" s="5">
        <f>(Sales_data[[#This Row],[Sales Amount]]-Sales_data[[#This Row],[TARGET]])</f>
        <v>20715.400000000001</v>
      </c>
    </row>
    <row r="353" spans="1:10" x14ac:dyDescent="0.3">
      <c r="A353" s="2">
        <v>45921</v>
      </c>
      <c r="B353" s="1" t="s">
        <v>45</v>
      </c>
      <c r="C353" t="s">
        <v>46</v>
      </c>
      <c r="D353" t="s">
        <v>47</v>
      </c>
      <c r="E353" t="s">
        <v>44</v>
      </c>
      <c r="F353">
        <v>37560</v>
      </c>
      <c r="G353" t="s">
        <v>12</v>
      </c>
      <c r="H353">
        <v>15000</v>
      </c>
      <c r="I353">
        <f t="shared" si="5"/>
        <v>3756</v>
      </c>
      <c r="J353" s="5">
        <f>(Sales_data[[#This Row],[Sales Amount]]-Sales_data[[#This Row],[TARGET]])</f>
        <v>22560</v>
      </c>
    </row>
    <row r="354" spans="1:10" x14ac:dyDescent="0.3">
      <c r="A354" s="2">
        <v>45921</v>
      </c>
      <c r="B354" s="1" t="s">
        <v>51</v>
      </c>
      <c r="C354" t="s">
        <v>52</v>
      </c>
      <c r="D354" t="s">
        <v>53</v>
      </c>
      <c r="E354" t="s">
        <v>44</v>
      </c>
      <c r="F354">
        <v>38570</v>
      </c>
      <c r="G354" t="s">
        <v>9</v>
      </c>
      <c r="H354">
        <v>15000</v>
      </c>
      <c r="I354">
        <f t="shared" si="5"/>
        <v>3857</v>
      </c>
      <c r="J354" s="5">
        <f>(Sales_data[[#This Row],[Sales Amount]]-Sales_data[[#This Row],[TARGET]])</f>
        <v>23570</v>
      </c>
    </row>
    <row r="355" spans="1:10" x14ac:dyDescent="0.3">
      <c r="A355" s="2">
        <v>45921</v>
      </c>
      <c r="B355" s="1" t="s">
        <v>41</v>
      </c>
      <c r="C355" t="s">
        <v>42</v>
      </c>
      <c r="D355" t="s">
        <v>43</v>
      </c>
      <c r="E355" t="s">
        <v>44</v>
      </c>
      <c r="F355">
        <v>39199.599999999999</v>
      </c>
      <c r="G355" t="s">
        <v>12</v>
      </c>
      <c r="H355">
        <v>15000</v>
      </c>
      <c r="I355">
        <f t="shared" si="5"/>
        <v>3919.96</v>
      </c>
      <c r="J355" s="5">
        <f>(Sales_data[[#This Row],[Sales Amount]]-Sales_data[[#This Row],[TARGET]])</f>
        <v>24199.599999999999</v>
      </c>
    </row>
    <row r="356" spans="1:10" x14ac:dyDescent="0.3">
      <c r="A356" s="2">
        <v>45921</v>
      </c>
      <c r="B356" s="1" t="s">
        <v>68</v>
      </c>
      <c r="C356" t="s">
        <v>69</v>
      </c>
      <c r="D356" t="s">
        <v>70</v>
      </c>
      <c r="E356" t="s">
        <v>18</v>
      </c>
      <c r="F356">
        <v>33694.800000000003</v>
      </c>
      <c r="G356" t="s">
        <v>10</v>
      </c>
      <c r="H356">
        <v>15000</v>
      </c>
      <c r="I356">
        <f t="shared" si="5"/>
        <v>3369.4800000000005</v>
      </c>
      <c r="J356" s="5">
        <f>(Sales_data[[#This Row],[Sales Amount]]-Sales_data[[#This Row],[TARGET]])</f>
        <v>18694.800000000003</v>
      </c>
    </row>
    <row r="357" spans="1:10" x14ac:dyDescent="0.3">
      <c r="A357" s="2">
        <v>45921</v>
      </c>
      <c r="B357" s="1" t="s">
        <v>19</v>
      </c>
      <c r="C357" t="s">
        <v>20</v>
      </c>
      <c r="D357" t="s">
        <v>21</v>
      </c>
      <c r="E357" t="s">
        <v>18</v>
      </c>
      <c r="F357">
        <v>34041.300000000003</v>
      </c>
      <c r="G357" t="s">
        <v>12</v>
      </c>
      <c r="H357">
        <v>15000</v>
      </c>
      <c r="I357">
        <f t="shared" si="5"/>
        <v>3404.1300000000006</v>
      </c>
      <c r="J357" s="5">
        <f>(Sales_data[[#This Row],[Sales Amount]]-Sales_data[[#This Row],[TARGET]])</f>
        <v>19041.300000000003</v>
      </c>
    </row>
    <row r="358" spans="1:10" x14ac:dyDescent="0.3">
      <c r="A358" s="2">
        <v>45921</v>
      </c>
      <c r="B358" s="1" t="s">
        <v>22</v>
      </c>
      <c r="C358" t="s">
        <v>23</v>
      </c>
      <c r="D358" t="s">
        <v>24</v>
      </c>
      <c r="E358" t="s">
        <v>18</v>
      </c>
      <c r="F358">
        <v>34162</v>
      </c>
      <c r="G358" t="s">
        <v>10</v>
      </c>
      <c r="H358">
        <v>15000</v>
      </c>
      <c r="I358">
        <f t="shared" si="5"/>
        <v>3416.2000000000003</v>
      </c>
      <c r="J358" s="5">
        <f>(Sales_data[[#This Row],[Sales Amount]]-Sales_data[[#This Row],[TARGET]])</f>
        <v>19162</v>
      </c>
    </row>
    <row r="359" spans="1:10" x14ac:dyDescent="0.3">
      <c r="A359" s="2">
        <v>45921</v>
      </c>
      <c r="B359" s="1" t="s">
        <v>19</v>
      </c>
      <c r="C359" t="s">
        <v>20</v>
      </c>
      <c r="D359" t="s">
        <v>21</v>
      </c>
      <c r="E359" t="s">
        <v>18</v>
      </c>
      <c r="F359">
        <v>35649</v>
      </c>
      <c r="G359" t="s">
        <v>9</v>
      </c>
      <c r="H359">
        <v>15000</v>
      </c>
      <c r="I359">
        <f t="shared" si="5"/>
        <v>3564.9</v>
      </c>
      <c r="J359" s="5">
        <f>(Sales_data[[#This Row],[Sales Amount]]-Sales_data[[#This Row],[TARGET]])</f>
        <v>20649</v>
      </c>
    </row>
    <row r="360" spans="1:10" x14ac:dyDescent="0.3">
      <c r="A360" s="2">
        <v>45921</v>
      </c>
      <c r="B360" s="1" t="s">
        <v>25</v>
      </c>
      <c r="C360" t="s">
        <v>26</v>
      </c>
      <c r="D360" t="s">
        <v>27</v>
      </c>
      <c r="E360" t="s">
        <v>18</v>
      </c>
      <c r="F360">
        <v>36666</v>
      </c>
      <c r="G360" t="s">
        <v>10</v>
      </c>
      <c r="H360">
        <v>15000</v>
      </c>
      <c r="I360">
        <f t="shared" si="5"/>
        <v>3666.6000000000004</v>
      </c>
      <c r="J360" s="5">
        <f>(Sales_data[[#This Row],[Sales Amount]]-Sales_data[[#This Row],[TARGET]])</f>
        <v>21666</v>
      </c>
    </row>
    <row r="361" spans="1:10" x14ac:dyDescent="0.3">
      <c r="A361" s="2">
        <v>45921</v>
      </c>
      <c r="B361" s="1" t="s">
        <v>22</v>
      </c>
      <c r="C361" t="s">
        <v>23</v>
      </c>
      <c r="D361" t="s">
        <v>24</v>
      </c>
      <c r="E361" t="s">
        <v>18</v>
      </c>
      <c r="F361">
        <v>37374.400000000001</v>
      </c>
      <c r="G361" t="s">
        <v>12</v>
      </c>
      <c r="H361">
        <v>15000</v>
      </c>
      <c r="I361">
        <f t="shared" si="5"/>
        <v>3737.4400000000005</v>
      </c>
      <c r="J361" s="5">
        <f>(Sales_data[[#This Row],[Sales Amount]]-Sales_data[[#This Row],[TARGET]])</f>
        <v>22374.400000000001</v>
      </c>
    </row>
    <row r="362" spans="1:10" x14ac:dyDescent="0.3">
      <c r="A362" s="2">
        <v>45921</v>
      </c>
      <c r="B362" s="1" t="s">
        <v>22</v>
      </c>
      <c r="C362" t="s">
        <v>23</v>
      </c>
      <c r="D362" t="s">
        <v>24</v>
      </c>
      <c r="E362" t="s">
        <v>18</v>
      </c>
      <c r="F362">
        <v>38227.699999999997</v>
      </c>
      <c r="G362" t="s">
        <v>9</v>
      </c>
      <c r="H362">
        <v>15000</v>
      </c>
      <c r="I362">
        <f t="shared" si="5"/>
        <v>3822.77</v>
      </c>
      <c r="J362" s="5">
        <f>(Sales_data[[#This Row],[Sales Amount]]-Sales_data[[#This Row],[TARGET]])</f>
        <v>23227.699999999997</v>
      </c>
    </row>
    <row r="363" spans="1:10" x14ac:dyDescent="0.3">
      <c r="A363" s="2">
        <v>45921</v>
      </c>
      <c r="B363" s="1" t="s">
        <v>15</v>
      </c>
      <c r="C363" t="s">
        <v>16</v>
      </c>
      <c r="D363" t="s">
        <v>17</v>
      </c>
      <c r="E363" t="s">
        <v>18</v>
      </c>
      <c r="F363">
        <v>39065.9</v>
      </c>
      <c r="G363" t="s">
        <v>10</v>
      </c>
      <c r="H363">
        <v>15000</v>
      </c>
      <c r="I363">
        <f t="shared" si="5"/>
        <v>3906.59</v>
      </c>
      <c r="J363" s="5">
        <f>(Sales_data[[#This Row],[Sales Amount]]-Sales_data[[#This Row],[TARGET]])</f>
        <v>24065.9</v>
      </c>
    </row>
    <row r="364" spans="1:10" x14ac:dyDescent="0.3">
      <c r="A364" s="2">
        <v>45921</v>
      </c>
      <c r="B364" s="1" t="s">
        <v>19</v>
      </c>
      <c r="C364" t="s">
        <v>20</v>
      </c>
      <c r="D364" t="s">
        <v>21</v>
      </c>
      <c r="E364" t="s">
        <v>18</v>
      </c>
      <c r="F364">
        <v>39236</v>
      </c>
      <c r="G364" t="s">
        <v>12</v>
      </c>
      <c r="H364">
        <v>15000</v>
      </c>
      <c r="I364">
        <f t="shared" si="5"/>
        <v>3923.6000000000004</v>
      </c>
      <c r="J364" s="5">
        <f>(Sales_data[[#This Row],[Sales Amount]]-Sales_data[[#This Row],[TARGET]])</f>
        <v>24236</v>
      </c>
    </row>
    <row r="365" spans="1:10" x14ac:dyDescent="0.3">
      <c r="A365" s="2">
        <v>45921</v>
      </c>
      <c r="B365" s="1" t="s">
        <v>57</v>
      </c>
      <c r="C365" t="s">
        <v>58</v>
      </c>
      <c r="D365" t="s">
        <v>59</v>
      </c>
      <c r="E365" t="s">
        <v>8</v>
      </c>
      <c r="F365">
        <v>28395.5</v>
      </c>
      <c r="G365" t="s">
        <v>12</v>
      </c>
      <c r="H365">
        <v>15000</v>
      </c>
      <c r="I365">
        <f t="shared" si="5"/>
        <v>2839.55</v>
      </c>
      <c r="J365" s="5">
        <f>(Sales_data[[#This Row],[Sales Amount]]-Sales_data[[#This Row],[TARGET]])</f>
        <v>13395.5</v>
      </c>
    </row>
    <row r="366" spans="1:10" x14ac:dyDescent="0.3">
      <c r="A366" s="2">
        <v>45921</v>
      </c>
      <c r="B366" s="1" t="s">
        <v>66</v>
      </c>
      <c r="C366" t="s">
        <v>7</v>
      </c>
      <c r="D366" t="s">
        <v>67</v>
      </c>
      <c r="E366" t="s">
        <v>8</v>
      </c>
      <c r="F366">
        <v>31127.200000000001</v>
      </c>
      <c r="G366" t="s">
        <v>12</v>
      </c>
      <c r="H366">
        <v>15000</v>
      </c>
      <c r="I366">
        <f t="shared" si="5"/>
        <v>3112.7200000000003</v>
      </c>
      <c r="J366" s="5">
        <f>(Sales_data[[#This Row],[Sales Amount]]-Sales_data[[#This Row],[TARGET]])</f>
        <v>16127.2</v>
      </c>
    </row>
    <row r="367" spans="1:10" x14ac:dyDescent="0.3">
      <c r="A367" s="2">
        <v>45921</v>
      </c>
      <c r="B367" s="1" t="s">
        <v>62</v>
      </c>
      <c r="C367" t="s">
        <v>13</v>
      </c>
      <c r="D367" t="s">
        <v>63</v>
      </c>
      <c r="E367" t="s">
        <v>8</v>
      </c>
      <c r="F367">
        <v>31407</v>
      </c>
      <c r="G367" t="s">
        <v>10</v>
      </c>
      <c r="H367">
        <v>15000</v>
      </c>
      <c r="I367">
        <f t="shared" si="5"/>
        <v>3140.7000000000003</v>
      </c>
      <c r="J367" s="5">
        <f>(Sales_data[[#This Row],[Sales Amount]]-Sales_data[[#This Row],[TARGET]])</f>
        <v>16407</v>
      </c>
    </row>
    <row r="368" spans="1:10" x14ac:dyDescent="0.3">
      <c r="A368" s="2">
        <v>45921</v>
      </c>
      <c r="B368" s="1" t="s">
        <v>64</v>
      </c>
      <c r="C368" t="s">
        <v>11</v>
      </c>
      <c r="D368" t="s">
        <v>65</v>
      </c>
      <c r="E368" t="s">
        <v>8</v>
      </c>
      <c r="F368">
        <v>35647.5</v>
      </c>
      <c r="G368" t="s">
        <v>12</v>
      </c>
      <c r="H368">
        <v>15000</v>
      </c>
      <c r="I368">
        <f t="shared" si="5"/>
        <v>3564.75</v>
      </c>
      <c r="J368" s="5">
        <f>(Sales_data[[#This Row],[Sales Amount]]-Sales_data[[#This Row],[TARGET]])</f>
        <v>20647.5</v>
      </c>
    </row>
    <row r="369" spans="1:10" x14ac:dyDescent="0.3">
      <c r="A369" s="2">
        <v>45921</v>
      </c>
      <c r="B369" s="1" t="s">
        <v>64</v>
      </c>
      <c r="C369" t="s">
        <v>11</v>
      </c>
      <c r="D369" t="s">
        <v>65</v>
      </c>
      <c r="E369" t="s">
        <v>8</v>
      </c>
      <c r="F369">
        <v>36088.1</v>
      </c>
      <c r="G369" t="s">
        <v>12</v>
      </c>
      <c r="H369">
        <v>15000</v>
      </c>
      <c r="I369">
        <f t="shared" si="5"/>
        <v>3608.81</v>
      </c>
      <c r="J369" s="5">
        <f>(Sales_data[[#This Row],[Sales Amount]]-Sales_data[[#This Row],[TARGET]])</f>
        <v>21088.1</v>
      </c>
    </row>
    <row r="370" spans="1:10" x14ac:dyDescent="0.3">
      <c r="A370" s="2">
        <v>45921</v>
      </c>
      <c r="B370" s="1" t="s">
        <v>66</v>
      </c>
      <c r="C370" t="s">
        <v>7</v>
      </c>
      <c r="D370" t="s">
        <v>67</v>
      </c>
      <c r="E370" t="s">
        <v>8</v>
      </c>
      <c r="F370">
        <v>36372.1</v>
      </c>
      <c r="G370" t="s">
        <v>9</v>
      </c>
      <c r="H370">
        <v>15000</v>
      </c>
      <c r="I370">
        <f t="shared" si="5"/>
        <v>3637.21</v>
      </c>
      <c r="J370" s="5">
        <f>(Sales_data[[#This Row],[Sales Amount]]-Sales_data[[#This Row],[TARGET]])</f>
        <v>21372.1</v>
      </c>
    </row>
    <row r="371" spans="1:10" x14ac:dyDescent="0.3">
      <c r="A371" s="2">
        <v>45921</v>
      </c>
      <c r="B371" s="1" t="s">
        <v>64</v>
      </c>
      <c r="C371" t="s">
        <v>11</v>
      </c>
      <c r="D371" t="s">
        <v>65</v>
      </c>
      <c r="E371" t="s">
        <v>8</v>
      </c>
      <c r="F371">
        <v>36530.199999999997</v>
      </c>
      <c r="G371" t="s">
        <v>10</v>
      </c>
      <c r="H371">
        <v>15000</v>
      </c>
      <c r="I371">
        <f t="shared" si="5"/>
        <v>3653.02</v>
      </c>
      <c r="J371" s="5">
        <f>(Sales_data[[#This Row],[Sales Amount]]-Sales_data[[#This Row],[TARGET]])</f>
        <v>21530.199999999997</v>
      </c>
    </row>
    <row r="372" spans="1:10" x14ac:dyDescent="0.3">
      <c r="A372" s="2">
        <v>45921</v>
      </c>
      <c r="B372" s="1" t="s">
        <v>66</v>
      </c>
      <c r="C372" t="s">
        <v>7</v>
      </c>
      <c r="D372" t="s">
        <v>67</v>
      </c>
      <c r="E372" t="s">
        <v>8</v>
      </c>
      <c r="F372">
        <v>36896.199999999997</v>
      </c>
      <c r="G372" t="s">
        <v>12</v>
      </c>
      <c r="H372">
        <v>15000</v>
      </c>
      <c r="I372">
        <f t="shared" si="5"/>
        <v>3689.62</v>
      </c>
      <c r="J372" s="5">
        <f>(Sales_data[[#This Row],[Sales Amount]]-Sales_data[[#This Row],[TARGET]])</f>
        <v>21896.199999999997</v>
      </c>
    </row>
    <row r="373" spans="1:10" x14ac:dyDescent="0.3">
      <c r="A373" s="2">
        <v>45921</v>
      </c>
      <c r="B373" s="1" t="s">
        <v>64</v>
      </c>
      <c r="C373" t="s">
        <v>11</v>
      </c>
      <c r="D373" t="s">
        <v>65</v>
      </c>
      <c r="E373" t="s">
        <v>8</v>
      </c>
      <c r="F373">
        <v>36907.199999999997</v>
      </c>
      <c r="G373" t="s">
        <v>10</v>
      </c>
      <c r="H373">
        <v>15000</v>
      </c>
      <c r="I373">
        <f t="shared" si="5"/>
        <v>3690.72</v>
      </c>
      <c r="J373" s="5">
        <f>(Sales_data[[#This Row],[Sales Amount]]-Sales_data[[#This Row],[TARGET]])</f>
        <v>21907.199999999997</v>
      </c>
    </row>
    <row r="374" spans="1:10" x14ac:dyDescent="0.3">
      <c r="A374" s="2">
        <v>45921</v>
      </c>
      <c r="B374" s="1" t="s">
        <v>66</v>
      </c>
      <c r="C374" t="s">
        <v>7</v>
      </c>
      <c r="D374" t="s">
        <v>67</v>
      </c>
      <c r="E374" t="s">
        <v>8</v>
      </c>
      <c r="F374">
        <v>37192.5</v>
      </c>
      <c r="G374" t="s">
        <v>12</v>
      </c>
      <c r="H374">
        <v>15000</v>
      </c>
      <c r="I374">
        <f t="shared" si="5"/>
        <v>3719.25</v>
      </c>
      <c r="J374" s="5">
        <f>(Sales_data[[#This Row],[Sales Amount]]-Sales_data[[#This Row],[TARGET]])</f>
        <v>22192.5</v>
      </c>
    </row>
    <row r="375" spans="1:10" x14ac:dyDescent="0.3">
      <c r="A375" s="2">
        <v>45921</v>
      </c>
      <c r="B375" s="1" t="s">
        <v>62</v>
      </c>
      <c r="C375" t="s">
        <v>13</v>
      </c>
      <c r="D375" t="s">
        <v>63</v>
      </c>
      <c r="E375" t="s">
        <v>8</v>
      </c>
      <c r="F375">
        <v>39186</v>
      </c>
      <c r="G375" t="s">
        <v>10</v>
      </c>
      <c r="H375">
        <v>15000</v>
      </c>
      <c r="I375">
        <f t="shared" si="5"/>
        <v>3918.6000000000004</v>
      </c>
      <c r="J375" s="5">
        <f>(Sales_data[[#This Row],[Sales Amount]]-Sales_data[[#This Row],[TARGET]])</f>
        <v>24186</v>
      </c>
    </row>
    <row r="376" spans="1:10" x14ac:dyDescent="0.3">
      <c r="A376" s="2">
        <v>45925</v>
      </c>
      <c r="B376" s="1" t="s">
        <v>15</v>
      </c>
      <c r="C376" t="s">
        <v>16</v>
      </c>
      <c r="D376" t="s">
        <v>17</v>
      </c>
      <c r="E376" t="s">
        <v>18</v>
      </c>
      <c r="F376">
        <v>41520</v>
      </c>
      <c r="G376" t="s">
        <v>9</v>
      </c>
      <c r="H376">
        <v>15000</v>
      </c>
      <c r="I376">
        <f t="shared" si="5"/>
        <v>4152</v>
      </c>
      <c r="J376" s="5">
        <f>(Sales_data[[#This Row],[Sales Amount]]-Sales_data[[#This Row],[TARGET]])</f>
        <v>26520</v>
      </c>
    </row>
    <row r="377" spans="1:10" x14ac:dyDescent="0.3">
      <c r="A377" s="2">
        <v>45925</v>
      </c>
      <c r="B377" s="1" t="s">
        <v>22</v>
      </c>
      <c r="C377" t="s">
        <v>23</v>
      </c>
      <c r="D377" t="s">
        <v>24</v>
      </c>
      <c r="E377" t="s">
        <v>18</v>
      </c>
      <c r="F377">
        <v>43088.2</v>
      </c>
      <c r="G377" t="s">
        <v>9</v>
      </c>
      <c r="H377">
        <v>15000</v>
      </c>
      <c r="I377">
        <f t="shared" si="5"/>
        <v>4308.82</v>
      </c>
      <c r="J377" s="5">
        <f>(Sales_data[[#This Row],[Sales Amount]]-Sales_data[[#This Row],[TARGET]])</f>
        <v>28088.199999999997</v>
      </c>
    </row>
    <row r="378" spans="1:10" x14ac:dyDescent="0.3">
      <c r="A378" s="2">
        <v>45925</v>
      </c>
      <c r="B378" s="1" t="s">
        <v>25</v>
      </c>
      <c r="C378" t="s">
        <v>26</v>
      </c>
      <c r="D378" t="s">
        <v>27</v>
      </c>
      <c r="E378" t="s">
        <v>18</v>
      </c>
      <c r="F378">
        <v>43184.4</v>
      </c>
      <c r="G378" t="s">
        <v>12</v>
      </c>
      <c r="H378">
        <v>15000</v>
      </c>
      <c r="I378">
        <f t="shared" si="5"/>
        <v>4318.4400000000005</v>
      </c>
      <c r="J378" s="5">
        <f>(Sales_data[[#This Row],[Sales Amount]]-Sales_data[[#This Row],[TARGET]])</f>
        <v>28184.400000000001</v>
      </c>
    </row>
    <row r="379" spans="1:10" x14ac:dyDescent="0.3">
      <c r="A379" s="2">
        <v>45951</v>
      </c>
      <c r="B379" s="1" t="s">
        <v>32</v>
      </c>
      <c r="C379" t="s">
        <v>33</v>
      </c>
      <c r="D379" t="s">
        <v>34</v>
      </c>
      <c r="E379" t="s">
        <v>31</v>
      </c>
      <c r="F379">
        <v>40224.800000000003</v>
      </c>
      <c r="G379" t="s">
        <v>9</v>
      </c>
      <c r="H379">
        <v>15000</v>
      </c>
      <c r="I379">
        <f t="shared" si="5"/>
        <v>4022.4800000000005</v>
      </c>
      <c r="J379" s="5">
        <f>(Sales_data[[#This Row],[Sales Amount]]-Sales_data[[#This Row],[TARGET]])</f>
        <v>25224.800000000003</v>
      </c>
    </row>
    <row r="380" spans="1:10" x14ac:dyDescent="0.3">
      <c r="A380" s="2">
        <v>45951</v>
      </c>
      <c r="B380" s="1" t="s">
        <v>32</v>
      </c>
      <c r="C380" t="s">
        <v>33</v>
      </c>
      <c r="D380" t="s">
        <v>34</v>
      </c>
      <c r="E380" t="s">
        <v>31</v>
      </c>
      <c r="F380">
        <v>40831</v>
      </c>
      <c r="G380" t="s">
        <v>9</v>
      </c>
      <c r="H380">
        <v>15000</v>
      </c>
      <c r="I380">
        <f t="shared" si="5"/>
        <v>4083.1000000000004</v>
      </c>
      <c r="J380" s="5">
        <f>(Sales_data[[#This Row],[Sales Amount]]-Sales_data[[#This Row],[TARGET]])</f>
        <v>25831</v>
      </c>
    </row>
    <row r="381" spans="1:10" x14ac:dyDescent="0.3">
      <c r="A381" s="2">
        <v>45951</v>
      </c>
      <c r="B381" s="1" t="s">
        <v>38</v>
      </c>
      <c r="C381" t="s">
        <v>39</v>
      </c>
      <c r="D381" t="s">
        <v>40</v>
      </c>
      <c r="E381" t="s">
        <v>31</v>
      </c>
      <c r="F381">
        <v>41215.300000000003</v>
      </c>
      <c r="G381" t="s">
        <v>12</v>
      </c>
      <c r="H381">
        <v>15000</v>
      </c>
      <c r="I381">
        <f t="shared" si="5"/>
        <v>4121.5300000000007</v>
      </c>
      <c r="J381" s="5">
        <f>(Sales_data[[#This Row],[Sales Amount]]-Sales_data[[#This Row],[TARGET]])</f>
        <v>26215.300000000003</v>
      </c>
    </row>
    <row r="382" spans="1:10" x14ac:dyDescent="0.3">
      <c r="A382" s="2">
        <v>45951</v>
      </c>
      <c r="B382" s="1" t="s">
        <v>71</v>
      </c>
      <c r="C382" t="s">
        <v>72</v>
      </c>
      <c r="D382" t="s">
        <v>73</v>
      </c>
      <c r="E382" t="s">
        <v>31</v>
      </c>
      <c r="F382">
        <v>41826.400000000001</v>
      </c>
      <c r="G382" t="s">
        <v>12</v>
      </c>
      <c r="H382">
        <v>15000</v>
      </c>
      <c r="I382">
        <f t="shared" si="5"/>
        <v>4182.6400000000003</v>
      </c>
      <c r="J382" s="5">
        <f>(Sales_data[[#This Row],[Sales Amount]]-Sales_data[[#This Row],[TARGET]])</f>
        <v>26826.400000000001</v>
      </c>
    </row>
    <row r="383" spans="1:10" x14ac:dyDescent="0.3">
      <c r="A383" s="2">
        <v>45951</v>
      </c>
      <c r="B383" s="1" t="s">
        <v>32</v>
      </c>
      <c r="C383" t="s">
        <v>33</v>
      </c>
      <c r="D383" t="s">
        <v>34</v>
      </c>
      <c r="E383" t="s">
        <v>31</v>
      </c>
      <c r="F383">
        <v>41932.800000000003</v>
      </c>
      <c r="G383" t="s">
        <v>9</v>
      </c>
      <c r="H383">
        <v>15000</v>
      </c>
      <c r="I383">
        <f t="shared" si="5"/>
        <v>4193.2800000000007</v>
      </c>
      <c r="J383" s="5">
        <f>(Sales_data[[#This Row],[Sales Amount]]-Sales_data[[#This Row],[TARGET]])</f>
        <v>26932.800000000003</v>
      </c>
    </row>
    <row r="384" spans="1:10" x14ac:dyDescent="0.3">
      <c r="A384" s="2">
        <v>45951</v>
      </c>
      <c r="B384" s="1" t="s">
        <v>28</v>
      </c>
      <c r="C384" t="s">
        <v>29</v>
      </c>
      <c r="D384" t="s">
        <v>30</v>
      </c>
      <c r="E384" t="s">
        <v>31</v>
      </c>
      <c r="F384">
        <v>42427</v>
      </c>
      <c r="G384" t="s">
        <v>10</v>
      </c>
      <c r="H384">
        <v>15000</v>
      </c>
      <c r="I384">
        <f t="shared" si="5"/>
        <v>4242.7</v>
      </c>
      <c r="J384" s="5">
        <f>(Sales_data[[#This Row],[Sales Amount]]-Sales_data[[#This Row],[TARGET]])</f>
        <v>27427</v>
      </c>
    </row>
    <row r="385" spans="1:10" x14ac:dyDescent="0.3">
      <c r="A385" s="2">
        <v>45951</v>
      </c>
      <c r="B385" s="1" t="s">
        <v>35</v>
      </c>
      <c r="C385" t="s">
        <v>36</v>
      </c>
      <c r="D385" t="s">
        <v>37</v>
      </c>
      <c r="E385" t="s">
        <v>31</v>
      </c>
      <c r="F385">
        <v>42690.400000000001</v>
      </c>
      <c r="G385" t="s">
        <v>12</v>
      </c>
      <c r="H385">
        <v>15000</v>
      </c>
      <c r="I385">
        <f t="shared" si="5"/>
        <v>4269.04</v>
      </c>
      <c r="J385" s="5">
        <f>(Sales_data[[#This Row],[Sales Amount]]-Sales_data[[#This Row],[TARGET]])</f>
        <v>27690.400000000001</v>
      </c>
    </row>
    <row r="386" spans="1:10" x14ac:dyDescent="0.3">
      <c r="A386" s="2">
        <v>45951</v>
      </c>
      <c r="B386" s="1" t="s">
        <v>35</v>
      </c>
      <c r="C386" t="s">
        <v>36</v>
      </c>
      <c r="D386" t="s">
        <v>37</v>
      </c>
      <c r="E386" t="s">
        <v>31</v>
      </c>
      <c r="F386">
        <v>43591.8</v>
      </c>
      <c r="G386" t="s">
        <v>9</v>
      </c>
      <c r="H386">
        <v>15000</v>
      </c>
      <c r="I386">
        <f t="shared" si="5"/>
        <v>4359.18</v>
      </c>
      <c r="J386" s="5">
        <f>(Sales_data[[#This Row],[Sales Amount]]-Sales_data[[#This Row],[TARGET]])</f>
        <v>28591.800000000003</v>
      </c>
    </row>
    <row r="387" spans="1:10" x14ac:dyDescent="0.3">
      <c r="A387" s="2">
        <v>45951</v>
      </c>
      <c r="B387" s="1" t="s">
        <v>32</v>
      </c>
      <c r="C387" t="s">
        <v>33</v>
      </c>
      <c r="D387" t="s">
        <v>34</v>
      </c>
      <c r="E387" t="s">
        <v>31</v>
      </c>
      <c r="F387">
        <v>43974</v>
      </c>
      <c r="G387" t="s">
        <v>9</v>
      </c>
      <c r="H387">
        <v>15000</v>
      </c>
      <c r="I387">
        <f t="shared" ref="I387:I450" si="6">IF(F387&gt;=H387,0.1*F387,0)</f>
        <v>4397.4000000000005</v>
      </c>
      <c r="J387" s="5">
        <f>(Sales_data[[#This Row],[Sales Amount]]-Sales_data[[#This Row],[TARGET]])</f>
        <v>28974</v>
      </c>
    </row>
    <row r="388" spans="1:10" x14ac:dyDescent="0.3">
      <c r="A388" s="2">
        <v>45951</v>
      </c>
      <c r="B388" s="1" t="s">
        <v>71</v>
      </c>
      <c r="C388" t="s">
        <v>72</v>
      </c>
      <c r="D388" t="s">
        <v>73</v>
      </c>
      <c r="E388" t="s">
        <v>31</v>
      </c>
      <c r="F388">
        <v>47510.400000000001</v>
      </c>
      <c r="G388" t="s">
        <v>10</v>
      </c>
      <c r="H388">
        <v>15000</v>
      </c>
      <c r="I388">
        <f t="shared" si="6"/>
        <v>4751.04</v>
      </c>
      <c r="J388" s="5">
        <f>(Sales_data[[#This Row],[Sales Amount]]-Sales_data[[#This Row],[TARGET]])</f>
        <v>32510.400000000001</v>
      </c>
    </row>
    <row r="389" spans="1:10" x14ac:dyDescent="0.3">
      <c r="A389" s="2">
        <v>45951</v>
      </c>
      <c r="B389" s="1" t="s">
        <v>71</v>
      </c>
      <c r="C389" t="s">
        <v>72</v>
      </c>
      <c r="D389" t="s">
        <v>73</v>
      </c>
      <c r="E389" t="s">
        <v>31</v>
      </c>
      <c r="F389">
        <v>49056</v>
      </c>
      <c r="G389" t="s">
        <v>9</v>
      </c>
      <c r="H389">
        <v>15000</v>
      </c>
      <c r="I389">
        <f t="shared" si="6"/>
        <v>4905.6000000000004</v>
      </c>
      <c r="J389" s="5">
        <f>(Sales_data[[#This Row],[Sales Amount]]-Sales_data[[#This Row],[TARGET]])</f>
        <v>34056</v>
      </c>
    </row>
    <row r="390" spans="1:10" x14ac:dyDescent="0.3">
      <c r="A390" s="2">
        <v>45951</v>
      </c>
      <c r="B390" s="1" t="s">
        <v>51</v>
      </c>
      <c r="C390" t="s">
        <v>52</v>
      </c>
      <c r="D390" t="s">
        <v>53</v>
      </c>
      <c r="E390" t="s">
        <v>44</v>
      </c>
      <c r="F390">
        <v>41989.599999999999</v>
      </c>
      <c r="G390" t="s">
        <v>9</v>
      </c>
      <c r="H390">
        <v>15000</v>
      </c>
      <c r="I390">
        <f t="shared" si="6"/>
        <v>4198.96</v>
      </c>
      <c r="J390" s="5">
        <f>(Sales_data[[#This Row],[Sales Amount]]-Sales_data[[#This Row],[TARGET]])</f>
        <v>26989.599999999999</v>
      </c>
    </row>
    <row r="391" spans="1:10" x14ac:dyDescent="0.3">
      <c r="A391" s="2">
        <v>45951</v>
      </c>
      <c r="B391" s="1" t="s">
        <v>41</v>
      </c>
      <c r="C391" t="s">
        <v>42</v>
      </c>
      <c r="D391" t="s">
        <v>43</v>
      </c>
      <c r="E391" t="s">
        <v>44</v>
      </c>
      <c r="F391">
        <v>43593.599999999999</v>
      </c>
      <c r="G391" t="s">
        <v>10</v>
      </c>
      <c r="H391">
        <v>15000</v>
      </c>
      <c r="I391">
        <f t="shared" si="6"/>
        <v>4359.3599999999997</v>
      </c>
      <c r="J391" s="5">
        <f>(Sales_data[[#This Row],[Sales Amount]]-Sales_data[[#This Row],[TARGET]])</f>
        <v>28593.599999999999</v>
      </c>
    </row>
    <row r="392" spans="1:10" x14ac:dyDescent="0.3">
      <c r="A392" s="2">
        <v>45951</v>
      </c>
      <c r="B392" s="1" t="s">
        <v>25</v>
      </c>
      <c r="C392" t="s">
        <v>26</v>
      </c>
      <c r="D392" t="s">
        <v>27</v>
      </c>
      <c r="E392" t="s">
        <v>18</v>
      </c>
      <c r="F392">
        <v>44422</v>
      </c>
      <c r="G392" t="s">
        <v>12</v>
      </c>
      <c r="H392">
        <v>15000</v>
      </c>
      <c r="I392">
        <f t="shared" si="6"/>
        <v>4442.2</v>
      </c>
      <c r="J392" s="5">
        <f>(Sales_data[[#This Row],[Sales Amount]]-Sales_data[[#This Row],[TARGET]])</f>
        <v>29422</v>
      </c>
    </row>
    <row r="393" spans="1:10" x14ac:dyDescent="0.3">
      <c r="A393" s="2">
        <v>45951</v>
      </c>
      <c r="B393" s="1" t="s">
        <v>15</v>
      </c>
      <c r="C393" t="s">
        <v>16</v>
      </c>
      <c r="D393" t="s">
        <v>17</v>
      </c>
      <c r="E393" t="s">
        <v>18</v>
      </c>
      <c r="F393">
        <v>45801</v>
      </c>
      <c r="G393" t="s">
        <v>10</v>
      </c>
      <c r="H393">
        <v>15000</v>
      </c>
      <c r="I393">
        <f t="shared" si="6"/>
        <v>4580.1000000000004</v>
      </c>
      <c r="J393" s="5">
        <f>(Sales_data[[#This Row],[Sales Amount]]-Sales_data[[#This Row],[TARGET]])</f>
        <v>30801</v>
      </c>
    </row>
    <row r="394" spans="1:10" x14ac:dyDescent="0.3">
      <c r="A394" s="2">
        <v>45951</v>
      </c>
      <c r="B394" s="1" t="s">
        <v>22</v>
      </c>
      <c r="C394" t="s">
        <v>23</v>
      </c>
      <c r="D394" t="s">
        <v>24</v>
      </c>
      <c r="E394" t="s">
        <v>18</v>
      </c>
      <c r="F394">
        <v>51531.199999999997</v>
      </c>
      <c r="G394" t="s">
        <v>12</v>
      </c>
      <c r="H394">
        <v>15000</v>
      </c>
      <c r="I394">
        <f t="shared" si="6"/>
        <v>5153.12</v>
      </c>
      <c r="J394" s="5">
        <f>(Sales_data[[#This Row],[Sales Amount]]-Sales_data[[#This Row],[TARGET]])</f>
        <v>36531.199999999997</v>
      </c>
    </row>
    <row r="395" spans="1:10" x14ac:dyDescent="0.3">
      <c r="A395" s="2">
        <v>45951</v>
      </c>
      <c r="B395" s="1" t="s">
        <v>60</v>
      </c>
      <c r="C395" t="s">
        <v>14</v>
      </c>
      <c r="D395" t="s">
        <v>61</v>
      </c>
      <c r="E395" t="s">
        <v>8</v>
      </c>
      <c r="F395">
        <v>39653.9</v>
      </c>
      <c r="G395" t="s">
        <v>12</v>
      </c>
      <c r="H395">
        <v>15000</v>
      </c>
      <c r="I395">
        <f t="shared" si="6"/>
        <v>3965.3900000000003</v>
      </c>
      <c r="J395" s="5">
        <f>(Sales_data[[#This Row],[Sales Amount]]-Sales_data[[#This Row],[TARGET]])</f>
        <v>24653.9</v>
      </c>
    </row>
    <row r="396" spans="1:10" x14ac:dyDescent="0.3">
      <c r="A396" s="2">
        <v>45951</v>
      </c>
      <c r="B396" s="1" t="s">
        <v>57</v>
      </c>
      <c r="C396" t="s">
        <v>58</v>
      </c>
      <c r="D396" t="s">
        <v>59</v>
      </c>
      <c r="E396" t="s">
        <v>8</v>
      </c>
      <c r="F396">
        <v>41420.699999999997</v>
      </c>
      <c r="G396" t="s">
        <v>9</v>
      </c>
      <c r="H396">
        <v>15000</v>
      </c>
      <c r="I396">
        <f t="shared" si="6"/>
        <v>4142.07</v>
      </c>
      <c r="J396" s="5">
        <f>(Sales_data[[#This Row],[Sales Amount]]-Sales_data[[#This Row],[TARGET]])</f>
        <v>26420.699999999997</v>
      </c>
    </row>
    <row r="397" spans="1:10" x14ac:dyDescent="0.3">
      <c r="A397" s="2">
        <v>45951</v>
      </c>
      <c r="B397" s="1" t="s">
        <v>62</v>
      </c>
      <c r="C397" t="s">
        <v>13</v>
      </c>
      <c r="D397" t="s">
        <v>63</v>
      </c>
      <c r="E397" t="s">
        <v>8</v>
      </c>
      <c r="F397">
        <v>41429.5</v>
      </c>
      <c r="G397" t="s">
        <v>10</v>
      </c>
      <c r="H397">
        <v>15000</v>
      </c>
      <c r="I397">
        <f t="shared" si="6"/>
        <v>4142.95</v>
      </c>
      <c r="J397" s="5">
        <f>(Sales_data[[#This Row],[Sales Amount]]-Sales_data[[#This Row],[TARGET]])</f>
        <v>26429.5</v>
      </c>
    </row>
    <row r="398" spans="1:10" x14ac:dyDescent="0.3">
      <c r="A398" s="2">
        <v>45951</v>
      </c>
      <c r="B398" s="1" t="s">
        <v>66</v>
      </c>
      <c r="C398" t="s">
        <v>7</v>
      </c>
      <c r="D398" t="s">
        <v>67</v>
      </c>
      <c r="E398" t="s">
        <v>8</v>
      </c>
      <c r="F398">
        <v>42249.1</v>
      </c>
      <c r="G398" t="s">
        <v>10</v>
      </c>
      <c r="H398">
        <v>15000</v>
      </c>
      <c r="I398">
        <f t="shared" si="6"/>
        <v>4224.91</v>
      </c>
      <c r="J398" s="5">
        <f>(Sales_data[[#This Row],[Sales Amount]]-Sales_data[[#This Row],[TARGET]])</f>
        <v>27249.1</v>
      </c>
    </row>
    <row r="399" spans="1:10" x14ac:dyDescent="0.3">
      <c r="A399" s="2">
        <v>45951</v>
      </c>
      <c r="B399" s="1" t="s">
        <v>57</v>
      </c>
      <c r="C399" t="s">
        <v>58</v>
      </c>
      <c r="D399" t="s">
        <v>59</v>
      </c>
      <c r="E399" t="s">
        <v>8</v>
      </c>
      <c r="F399">
        <v>43388.1</v>
      </c>
      <c r="G399" t="s">
        <v>10</v>
      </c>
      <c r="H399">
        <v>15000</v>
      </c>
      <c r="I399">
        <f t="shared" si="6"/>
        <v>4338.8100000000004</v>
      </c>
      <c r="J399" s="5">
        <f>(Sales_data[[#This Row],[Sales Amount]]-Sales_data[[#This Row],[TARGET]])</f>
        <v>28388.1</v>
      </c>
    </row>
    <row r="400" spans="1:10" x14ac:dyDescent="0.3">
      <c r="A400" s="2">
        <v>45951</v>
      </c>
      <c r="B400" s="1" t="s">
        <v>66</v>
      </c>
      <c r="C400" t="s">
        <v>7</v>
      </c>
      <c r="D400" t="s">
        <v>67</v>
      </c>
      <c r="E400" t="s">
        <v>8</v>
      </c>
      <c r="F400">
        <v>46716</v>
      </c>
      <c r="G400" t="s">
        <v>9</v>
      </c>
      <c r="H400">
        <v>15000</v>
      </c>
      <c r="I400">
        <f t="shared" si="6"/>
        <v>4671.6000000000004</v>
      </c>
      <c r="J400" s="5">
        <f>(Sales_data[[#This Row],[Sales Amount]]-Sales_data[[#This Row],[TARGET]])</f>
        <v>31716</v>
      </c>
    </row>
    <row r="401" spans="1:10" x14ac:dyDescent="0.3">
      <c r="A401" s="2">
        <v>45951</v>
      </c>
      <c r="B401" s="1" t="s">
        <v>57</v>
      </c>
      <c r="C401" t="s">
        <v>58</v>
      </c>
      <c r="D401" t="s">
        <v>59</v>
      </c>
      <c r="E401" t="s">
        <v>8</v>
      </c>
      <c r="F401">
        <v>1171.6500000000001</v>
      </c>
      <c r="G401" t="s">
        <v>9</v>
      </c>
      <c r="H401">
        <v>15000</v>
      </c>
      <c r="I401">
        <f t="shared" si="6"/>
        <v>0</v>
      </c>
      <c r="J401" s="5">
        <f>(Sales_data[[#This Row],[Sales Amount]]-Sales_data[[#This Row],[TARGET]])</f>
        <v>-13828.35</v>
      </c>
    </row>
    <row r="402" spans="1:10" x14ac:dyDescent="0.3">
      <c r="A402" s="2">
        <v>45951</v>
      </c>
      <c r="B402" s="1" t="s">
        <v>64</v>
      </c>
      <c r="C402" t="s">
        <v>11</v>
      </c>
      <c r="D402" t="s">
        <v>65</v>
      </c>
      <c r="E402" t="s">
        <v>8</v>
      </c>
      <c r="F402">
        <v>1696.8</v>
      </c>
      <c r="G402" t="s">
        <v>12</v>
      </c>
      <c r="H402">
        <v>15000</v>
      </c>
      <c r="I402">
        <f t="shared" si="6"/>
        <v>0</v>
      </c>
      <c r="J402" s="5">
        <f>(Sales_data[[#This Row],[Sales Amount]]-Sales_data[[#This Row],[TARGET]])</f>
        <v>-13303.2</v>
      </c>
    </row>
    <row r="403" spans="1:10" x14ac:dyDescent="0.3">
      <c r="A403" s="2">
        <v>45951</v>
      </c>
      <c r="B403" s="1" t="s">
        <v>64</v>
      </c>
      <c r="C403" t="s">
        <v>11</v>
      </c>
      <c r="D403" t="s">
        <v>65</v>
      </c>
      <c r="E403" t="s">
        <v>8</v>
      </c>
      <c r="F403">
        <v>569.64</v>
      </c>
      <c r="G403" t="s">
        <v>9</v>
      </c>
      <c r="H403">
        <v>15000</v>
      </c>
      <c r="I403">
        <f t="shared" si="6"/>
        <v>0</v>
      </c>
      <c r="J403" s="5">
        <f>(Sales_data[[#This Row],[Sales Amount]]-Sales_data[[#This Row],[TARGET]])</f>
        <v>-14430.36</v>
      </c>
    </row>
    <row r="404" spans="1:10" x14ac:dyDescent="0.3">
      <c r="A404" s="2">
        <v>45951</v>
      </c>
      <c r="B404" s="1" t="s">
        <v>64</v>
      </c>
      <c r="C404" t="s">
        <v>11</v>
      </c>
      <c r="D404" t="s">
        <v>65</v>
      </c>
      <c r="E404" t="s">
        <v>8</v>
      </c>
      <c r="F404">
        <v>1818.84</v>
      </c>
      <c r="G404" t="s">
        <v>10</v>
      </c>
      <c r="H404">
        <v>15000</v>
      </c>
      <c r="I404">
        <f t="shared" si="6"/>
        <v>0</v>
      </c>
      <c r="J404" s="5">
        <f>(Sales_data[[#This Row],[Sales Amount]]-Sales_data[[#This Row],[TARGET]])</f>
        <v>-13181.16</v>
      </c>
    </row>
    <row r="405" spans="1:10" x14ac:dyDescent="0.3">
      <c r="A405" s="2">
        <v>45951</v>
      </c>
      <c r="B405" s="1" t="s">
        <v>62</v>
      </c>
      <c r="C405" t="s">
        <v>13</v>
      </c>
      <c r="D405" t="s">
        <v>63</v>
      </c>
      <c r="E405" t="s">
        <v>8</v>
      </c>
      <c r="F405">
        <v>1799.35</v>
      </c>
      <c r="G405" t="s">
        <v>9</v>
      </c>
      <c r="H405">
        <v>15000</v>
      </c>
      <c r="I405">
        <f t="shared" si="6"/>
        <v>0</v>
      </c>
      <c r="J405" s="5">
        <f>(Sales_data[[#This Row],[Sales Amount]]-Sales_data[[#This Row],[TARGET]])</f>
        <v>-13200.65</v>
      </c>
    </row>
    <row r="406" spans="1:10" x14ac:dyDescent="0.3">
      <c r="A406" s="2">
        <v>45951</v>
      </c>
      <c r="B406" s="1" t="s">
        <v>57</v>
      </c>
      <c r="C406" t="s">
        <v>58</v>
      </c>
      <c r="D406" t="s">
        <v>59</v>
      </c>
      <c r="E406" t="s">
        <v>8</v>
      </c>
      <c r="F406">
        <v>1649.94</v>
      </c>
      <c r="G406" t="s">
        <v>10</v>
      </c>
      <c r="H406">
        <v>15000</v>
      </c>
      <c r="I406">
        <f t="shared" si="6"/>
        <v>0</v>
      </c>
      <c r="J406" s="5">
        <f>(Sales_data[[#This Row],[Sales Amount]]-Sales_data[[#This Row],[TARGET]])</f>
        <v>-13350.06</v>
      </c>
    </row>
    <row r="407" spans="1:10" x14ac:dyDescent="0.3">
      <c r="A407" s="2">
        <v>45951</v>
      </c>
      <c r="B407" s="1" t="s">
        <v>66</v>
      </c>
      <c r="C407" t="s">
        <v>74</v>
      </c>
      <c r="D407" t="s">
        <v>67</v>
      </c>
      <c r="E407" t="s">
        <v>8</v>
      </c>
      <c r="F407">
        <v>1441.6</v>
      </c>
      <c r="G407" t="s">
        <v>12</v>
      </c>
      <c r="H407">
        <v>15000</v>
      </c>
      <c r="I407">
        <f t="shared" si="6"/>
        <v>0</v>
      </c>
      <c r="J407" s="5">
        <f>(Sales_data[[#This Row],[Sales Amount]]-Sales_data[[#This Row],[TARGET]])</f>
        <v>-13558.4</v>
      </c>
    </row>
    <row r="408" spans="1:10" x14ac:dyDescent="0.3">
      <c r="A408" s="2">
        <v>45951</v>
      </c>
      <c r="B408" s="1" t="s">
        <v>62</v>
      </c>
      <c r="C408" t="s">
        <v>13</v>
      </c>
      <c r="D408" t="s">
        <v>63</v>
      </c>
      <c r="E408" t="s">
        <v>8</v>
      </c>
      <c r="F408">
        <v>376.05</v>
      </c>
      <c r="G408" t="s">
        <v>9</v>
      </c>
      <c r="H408">
        <v>15000</v>
      </c>
      <c r="I408">
        <f t="shared" si="6"/>
        <v>0</v>
      </c>
      <c r="J408" s="5">
        <f>(Sales_data[[#This Row],[Sales Amount]]-Sales_data[[#This Row],[TARGET]])</f>
        <v>-14623.95</v>
      </c>
    </row>
    <row r="409" spans="1:10" x14ac:dyDescent="0.3">
      <c r="A409" s="2">
        <v>45951</v>
      </c>
      <c r="B409" s="1" t="s">
        <v>64</v>
      </c>
      <c r="C409" t="s">
        <v>11</v>
      </c>
      <c r="D409" t="s">
        <v>65</v>
      </c>
      <c r="E409" t="s">
        <v>8</v>
      </c>
      <c r="F409">
        <v>3608.81</v>
      </c>
      <c r="G409" t="s">
        <v>12</v>
      </c>
      <c r="H409">
        <v>15000</v>
      </c>
      <c r="I409">
        <f t="shared" si="6"/>
        <v>0</v>
      </c>
      <c r="J409" s="5">
        <f>(Sales_data[[#This Row],[Sales Amount]]-Sales_data[[#This Row],[TARGET]])</f>
        <v>-11391.19</v>
      </c>
    </row>
    <row r="410" spans="1:10" x14ac:dyDescent="0.3">
      <c r="A410" s="2">
        <v>45951</v>
      </c>
      <c r="B410" s="1" t="s">
        <v>62</v>
      </c>
      <c r="C410" t="s">
        <v>13</v>
      </c>
      <c r="D410" t="s">
        <v>63</v>
      </c>
      <c r="E410" t="s">
        <v>8</v>
      </c>
      <c r="F410">
        <v>969.76</v>
      </c>
      <c r="G410" t="s">
        <v>10</v>
      </c>
      <c r="H410">
        <v>15000</v>
      </c>
      <c r="I410">
        <f t="shared" si="6"/>
        <v>0</v>
      </c>
      <c r="J410" s="5">
        <f>(Sales_data[[#This Row],[Sales Amount]]-Sales_data[[#This Row],[TARGET]])</f>
        <v>-14030.24</v>
      </c>
    </row>
    <row r="411" spans="1:10" x14ac:dyDescent="0.3">
      <c r="A411" s="2">
        <v>45951</v>
      </c>
      <c r="B411" s="1" t="s">
        <v>64</v>
      </c>
      <c r="C411" t="s">
        <v>11</v>
      </c>
      <c r="D411" t="s">
        <v>65</v>
      </c>
      <c r="E411" t="s">
        <v>8</v>
      </c>
      <c r="F411">
        <v>2247.79</v>
      </c>
      <c r="G411" t="s">
        <v>10</v>
      </c>
      <c r="H411">
        <v>15000</v>
      </c>
      <c r="I411">
        <f t="shared" si="6"/>
        <v>0</v>
      </c>
      <c r="J411" s="5">
        <f>(Sales_data[[#This Row],[Sales Amount]]-Sales_data[[#This Row],[TARGET]])</f>
        <v>-12752.21</v>
      </c>
    </row>
    <row r="412" spans="1:10" x14ac:dyDescent="0.3">
      <c r="A412" s="2">
        <v>45951</v>
      </c>
      <c r="B412" s="1" t="s">
        <v>62</v>
      </c>
      <c r="C412" t="s">
        <v>13</v>
      </c>
      <c r="D412" t="s">
        <v>63</v>
      </c>
      <c r="E412" t="s">
        <v>8</v>
      </c>
      <c r="F412">
        <v>432.28</v>
      </c>
      <c r="G412" t="s">
        <v>12</v>
      </c>
      <c r="H412">
        <v>15000</v>
      </c>
      <c r="I412">
        <f t="shared" si="6"/>
        <v>0</v>
      </c>
      <c r="J412" s="5">
        <f>(Sales_data[[#This Row],[Sales Amount]]-Sales_data[[#This Row],[TARGET]])</f>
        <v>-14567.72</v>
      </c>
    </row>
    <row r="413" spans="1:10" x14ac:dyDescent="0.3">
      <c r="A413" s="2">
        <v>45951</v>
      </c>
      <c r="B413" s="1" t="s">
        <v>57</v>
      </c>
      <c r="C413" t="s">
        <v>58</v>
      </c>
      <c r="D413" t="s">
        <v>59</v>
      </c>
      <c r="E413" t="s">
        <v>8</v>
      </c>
      <c r="F413">
        <v>4338.8100000000004</v>
      </c>
      <c r="G413" t="s">
        <v>10</v>
      </c>
      <c r="H413">
        <v>15000</v>
      </c>
      <c r="I413">
        <f t="shared" si="6"/>
        <v>0</v>
      </c>
      <c r="J413" s="5">
        <f>(Sales_data[[#This Row],[Sales Amount]]-Sales_data[[#This Row],[TARGET]])</f>
        <v>-10661.189999999999</v>
      </c>
    </row>
    <row r="414" spans="1:10" x14ac:dyDescent="0.3">
      <c r="A414" s="2">
        <v>45951</v>
      </c>
      <c r="B414" s="1" t="s">
        <v>66</v>
      </c>
      <c r="C414" t="s">
        <v>74</v>
      </c>
      <c r="D414" t="s">
        <v>67</v>
      </c>
      <c r="E414" t="s">
        <v>8</v>
      </c>
      <c r="F414">
        <v>1567.02</v>
      </c>
      <c r="G414" t="s">
        <v>12</v>
      </c>
      <c r="H414">
        <v>15000</v>
      </c>
      <c r="I414">
        <f t="shared" si="6"/>
        <v>0</v>
      </c>
      <c r="J414" s="5">
        <f>(Sales_data[[#This Row],[Sales Amount]]-Sales_data[[#This Row],[TARGET]])</f>
        <v>-13432.98</v>
      </c>
    </row>
    <row r="415" spans="1:10" x14ac:dyDescent="0.3">
      <c r="A415" s="2">
        <v>45955</v>
      </c>
      <c r="B415" s="1" t="s">
        <v>62</v>
      </c>
      <c r="C415" t="s">
        <v>13</v>
      </c>
      <c r="D415" t="s">
        <v>63</v>
      </c>
      <c r="E415" t="s">
        <v>8</v>
      </c>
      <c r="F415">
        <v>1039.17</v>
      </c>
      <c r="G415" t="s">
        <v>12</v>
      </c>
      <c r="H415">
        <v>15000</v>
      </c>
      <c r="I415">
        <f t="shared" si="6"/>
        <v>0</v>
      </c>
      <c r="J415" s="5">
        <f>(Sales_data[[#This Row],[Sales Amount]]-Sales_data[[#This Row],[TARGET]])</f>
        <v>-13960.83</v>
      </c>
    </row>
    <row r="416" spans="1:10" x14ac:dyDescent="0.3">
      <c r="A416" s="2">
        <v>45955</v>
      </c>
      <c r="B416" s="1" t="s">
        <v>66</v>
      </c>
      <c r="C416" t="s">
        <v>74</v>
      </c>
      <c r="D416" t="s">
        <v>67</v>
      </c>
      <c r="E416" t="s">
        <v>8</v>
      </c>
      <c r="F416">
        <v>700.92</v>
      </c>
      <c r="G416" t="s">
        <v>10</v>
      </c>
      <c r="H416">
        <v>15000</v>
      </c>
      <c r="I416">
        <f t="shared" si="6"/>
        <v>0</v>
      </c>
      <c r="J416" s="5">
        <f>(Sales_data[[#This Row],[Sales Amount]]-Sales_data[[#This Row],[TARGET]])</f>
        <v>-14299.08</v>
      </c>
    </row>
    <row r="417" spans="1:10" x14ac:dyDescent="0.3">
      <c r="A417" s="2">
        <v>45955</v>
      </c>
      <c r="B417" s="1" t="s">
        <v>57</v>
      </c>
      <c r="C417" t="s">
        <v>58</v>
      </c>
      <c r="D417" t="s">
        <v>59</v>
      </c>
      <c r="E417" t="s">
        <v>8</v>
      </c>
      <c r="F417">
        <v>891.45</v>
      </c>
      <c r="G417" t="s">
        <v>9</v>
      </c>
      <c r="H417">
        <v>15000</v>
      </c>
      <c r="I417">
        <f t="shared" si="6"/>
        <v>0</v>
      </c>
      <c r="J417" s="5">
        <f>(Sales_data[[#This Row],[Sales Amount]]-Sales_data[[#This Row],[TARGET]])</f>
        <v>-14108.55</v>
      </c>
    </row>
    <row r="418" spans="1:10" x14ac:dyDescent="0.3">
      <c r="A418" s="2">
        <v>45955</v>
      </c>
      <c r="B418" s="1" t="s">
        <v>64</v>
      </c>
      <c r="C418" t="s">
        <v>11</v>
      </c>
      <c r="D418" t="s">
        <v>65</v>
      </c>
      <c r="E418" t="s">
        <v>8</v>
      </c>
      <c r="F418">
        <v>708.89</v>
      </c>
      <c r="G418" t="s">
        <v>9</v>
      </c>
      <c r="H418">
        <v>15000</v>
      </c>
      <c r="I418">
        <f t="shared" si="6"/>
        <v>0</v>
      </c>
      <c r="J418" s="5">
        <f>(Sales_data[[#This Row],[Sales Amount]]-Sales_data[[#This Row],[TARGET]])</f>
        <v>-14291.11</v>
      </c>
    </row>
    <row r="419" spans="1:10" x14ac:dyDescent="0.3">
      <c r="A419" s="2">
        <v>45955</v>
      </c>
      <c r="B419" s="1" t="s">
        <v>66</v>
      </c>
      <c r="C419" t="s">
        <v>74</v>
      </c>
      <c r="D419" t="s">
        <v>67</v>
      </c>
      <c r="E419" t="s">
        <v>8</v>
      </c>
      <c r="F419">
        <v>809.55</v>
      </c>
      <c r="G419" t="s">
        <v>9</v>
      </c>
      <c r="H419">
        <v>15000</v>
      </c>
      <c r="I419">
        <f t="shared" si="6"/>
        <v>0</v>
      </c>
      <c r="J419" s="5">
        <f>(Sales_data[[#This Row],[Sales Amount]]-Sales_data[[#This Row],[TARGET]])</f>
        <v>-14190.45</v>
      </c>
    </row>
    <row r="420" spans="1:10" x14ac:dyDescent="0.3">
      <c r="A420" s="2">
        <v>45955</v>
      </c>
      <c r="B420" s="1" t="s">
        <v>57</v>
      </c>
      <c r="C420" t="s">
        <v>58</v>
      </c>
      <c r="D420" t="s">
        <v>59</v>
      </c>
      <c r="E420" t="s">
        <v>8</v>
      </c>
      <c r="F420">
        <v>734.32</v>
      </c>
      <c r="G420" t="s">
        <v>10</v>
      </c>
      <c r="H420">
        <v>15000</v>
      </c>
      <c r="I420">
        <f t="shared" si="6"/>
        <v>0</v>
      </c>
      <c r="J420" s="5">
        <f>(Sales_data[[#This Row],[Sales Amount]]-Sales_data[[#This Row],[TARGET]])</f>
        <v>-14265.68</v>
      </c>
    </row>
    <row r="421" spans="1:10" x14ac:dyDescent="0.3">
      <c r="A421" s="2">
        <v>45955</v>
      </c>
      <c r="B421" s="1" t="s">
        <v>57</v>
      </c>
      <c r="C421" t="s">
        <v>58</v>
      </c>
      <c r="D421" t="s">
        <v>59</v>
      </c>
      <c r="E421" t="s">
        <v>8</v>
      </c>
      <c r="F421">
        <v>2839.55</v>
      </c>
      <c r="G421" t="s">
        <v>12</v>
      </c>
      <c r="H421">
        <v>15000</v>
      </c>
      <c r="I421">
        <f t="shared" si="6"/>
        <v>0</v>
      </c>
      <c r="J421" s="5">
        <f>(Sales_data[[#This Row],[Sales Amount]]-Sales_data[[#This Row],[TARGET]])</f>
        <v>-12160.45</v>
      </c>
    </row>
    <row r="422" spans="1:10" x14ac:dyDescent="0.3">
      <c r="A422" s="2">
        <v>45955</v>
      </c>
      <c r="B422" s="1" t="s">
        <v>57</v>
      </c>
      <c r="C422" t="s">
        <v>58</v>
      </c>
      <c r="D422" t="s">
        <v>59</v>
      </c>
      <c r="E422" t="s">
        <v>8</v>
      </c>
      <c r="F422">
        <v>453.1</v>
      </c>
      <c r="G422" t="s">
        <v>12</v>
      </c>
      <c r="H422">
        <v>15000</v>
      </c>
      <c r="I422">
        <f t="shared" si="6"/>
        <v>0</v>
      </c>
      <c r="J422" s="5">
        <f>(Sales_data[[#This Row],[Sales Amount]]-Sales_data[[#This Row],[TARGET]])</f>
        <v>-14546.9</v>
      </c>
    </row>
    <row r="423" spans="1:10" x14ac:dyDescent="0.3">
      <c r="A423" s="2">
        <v>45982</v>
      </c>
      <c r="B423" s="1" t="s">
        <v>60</v>
      </c>
      <c r="C423" t="s">
        <v>14</v>
      </c>
      <c r="D423" t="s">
        <v>61</v>
      </c>
      <c r="E423" t="s">
        <v>8</v>
      </c>
      <c r="F423">
        <v>1774.8</v>
      </c>
      <c r="G423" t="s">
        <v>9</v>
      </c>
      <c r="H423">
        <v>15000</v>
      </c>
      <c r="I423">
        <f t="shared" si="6"/>
        <v>0</v>
      </c>
      <c r="J423" s="5">
        <f>(Sales_data[[#This Row],[Sales Amount]]-Sales_data[[#This Row],[TARGET]])</f>
        <v>-13225.2</v>
      </c>
    </row>
    <row r="424" spans="1:10" x14ac:dyDescent="0.3">
      <c r="A424" s="2">
        <v>45982</v>
      </c>
      <c r="B424" s="1" t="s">
        <v>57</v>
      </c>
      <c r="C424" t="s">
        <v>58</v>
      </c>
      <c r="D424" t="s">
        <v>59</v>
      </c>
      <c r="E424" t="s">
        <v>8</v>
      </c>
      <c r="F424">
        <v>735.66</v>
      </c>
      <c r="G424" t="s">
        <v>9</v>
      </c>
      <c r="H424">
        <v>15000</v>
      </c>
      <c r="I424">
        <f t="shared" si="6"/>
        <v>0</v>
      </c>
      <c r="J424" s="5">
        <f>(Sales_data[[#This Row],[Sales Amount]]-Sales_data[[#This Row],[TARGET]])</f>
        <v>-14264.34</v>
      </c>
    </row>
    <row r="425" spans="1:10" x14ac:dyDescent="0.3">
      <c r="A425" s="2">
        <v>45982</v>
      </c>
      <c r="B425" s="1" t="s">
        <v>60</v>
      </c>
      <c r="C425" t="s">
        <v>14</v>
      </c>
      <c r="D425" t="s">
        <v>61</v>
      </c>
      <c r="E425" t="s">
        <v>8</v>
      </c>
      <c r="F425">
        <v>675.18</v>
      </c>
      <c r="G425" t="s">
        <v>10</v>
      </c>
      <c r="H425">
        <v>15000</v>
      </c>
      <c r="I425">
        <f t="shared" si="6"/>
        <v>0</v>
      </c>
      <c r="J425" s="5">
        <f>(Sales_data[[#This Row],[Sales Amount]]-Sales_data[[#This Row],[TARGET]])</f>
        <v>-14324.82</v>
      </c>
    </row>
    <row r="426" spans="1:10" x14ac:dyDescent="0.3">
      <c r="A426" s="2">
        <v>45982</v>
      </c>
      <c r="B426" s="1" t="s">
        <v>62</v>
      </c>
      <c r="C426" t="s">
        <v>13</v>
      </c>
      <c r="D426" t="s">
        <v>63</v>
      </c>
      <c r="E426" t="s">
        <v>8</v>
      </c>
      <c r="F426">
        <v>4142.95</v>
      </c>
      <c r="G426" t="s">
        <v>10</v>
      </c>
      <c r="H426">
        <v>15000</v>
      </c>
      <c r="I426">
        <f t="shared" si="6"/>
        <v>0</v>
      </c>
      <c r="J426" s="5">
        <f>(Sales_data[[#This Row],[Sales Amount]]-Sales_data[[#This Row],[TARGET]])</f>
        <v>-10857.05</v>
      </c>
    </row>
    <row r="427" spans="1:10" x14ac:dyDescent="0.3">
      <c r="A427" s="2">
        <v>45982</v>
      </c>
      <c r="B427" s="1" t="s">
        <v>66</v>
      </c>
      <c r="C427" t="s">
        <v>74</v>
      </c>
      <c r="D427" t="s">
        <v>67</v>
      </c>
      <c r="E427" t="s">
        <v>8</v>
      </c>
      <c r="F427">
        <v>3637.21</v>
      </c>
      <c r="G427" t="s">
        <v>9</v>
      </c>
      <c r="H427">
        <v>15000</v>
      </c>
      <c r="I427">
        <f t="shared" si="6"/>
        <v>0</v>
      </c>
      <c r="J427" s="5">
        <f>(Sales_data[[#This Row],[Sales Amount]]-Sales_data[[#This Row],[TARGET]])</f>
        <v>-11362.79</v>
      </c>
    </row>
    <row r="428" spans="1:10" x14ac:dyDescent="0.3">
      <c r="A428" s="2">
        <v>45982</v>
      </c>
      <c r="B428" s="1" t="s">
        <v>62</v>
      </c>
      <c r="C428" t="s">
        <v>13</v>
      </c>
      <c r="D428" t="s">
        <v>63</v>
      </c>
      <c r="E428" t="s">
        <v>8</v>
      </c>
      <c r="F428">
        <v>3918.6</v>
      </c>
      <c r="G428" t="s">
        <v>10</v>
      </c>
      <c r="H428">
        <v>15000</v>
      </c>
      <c r="I428">
        <f t="shared" si="6"/>
        <v>0</v>
      </c>
      <c r="J428" s="5">
        <f>(Sales_data[[#This Row],[Sales Amount]]-Sales_data[[#This Row],[TARGET]])</f>
        <v>-11081.4</v>
      </c>
    </row>
    <row r="429" spans="1:10" x14ac:dyDescent="0.3">
      <c r="A429" s="2">
        <v>45982</v>
      </c>
      <c r="B429" s="1" t="s">
        <v>57</v>
      </c>
      <c r="C429" t="s">
        <v>58</v>
      </c>
      <c r="D429" t="s">
        <v>59</v>
      </c>
      <c r="E429" t="s">
        <v>8</v>
      </c>
      <c r="F429">
        <v>694.54</v>
      </c>
      <c r="G429" t="s">
        <v>12</v>
      </c>
      <c r="H429">
        <v>15000</v>
      </c>
      <c r="I429">
        <f t="shared" si="6"/>
        <v>0</v>
      </c>
      <c r="J429" s="5">
        <f>(Sales_data[[#This Row],[Sales Amount]]-Sales_data[[#This Row],[TARGET]])</f>
        <v>-14305.46</v>
      </c>
    </row>
    <row r="430" spans="1:10" x14ac:dyDescent="0.3">
      <c r="A430" s="2">
        <v>45982</v>
      </c>
      <c r="B430" s="1" t="s">
        <v>7</v>
      </c>
      <c r="C430" t="s">
        <v>74</v>
      </c>
      <c r="D430" t="s">
        <v>75</v>
      </c>
      <c r="E430" t="s">
        <v>8</v>
      </c>
      <c r="F430">
        <v>3112.72</v>
      </c>
      <c r="G430" t="s">
        <v>12</v>
      </c>
      <c r="H430">
        <v>15000</v>
      </c>
      <c r="I430">
        <f t="shared" si="6"/>
        <v>0</v>
      </c>
      <c r="J430" s="5">
        <f>(Sales_data[[#This Row],[Sales Amount]]-Sales_data[[#This Row],[TARGET]])</f>
        <v>-11887.28</v>
      </c>
    </row>
    <row r="431" spans="1:10" x14ac:dyDescent="0.3">
      <c r="A431" s="2">
        <v>45982</v>
      </c>
      <c r="B431" s="1" t="s">
        <v>57</v>
      </c>
      <c r="C431" t="s">
        <v>58</v>
      </c>
      <c r="D431" t="s">
        <v>59</v>
      </c>
      <c r="E431" t="s">
        <v>8</v>
      </c>
      <c r="F431">
        <v>1001.92</v>
      </c>
      <c r="G431" t="s">
        <v>12</v>
      </c>
      <c r="H431">
        <v>15000</v>
      </c>
      <c r="I431">
        <f t="shared" si="6"/>
        <v>0</v>
      </c>
      <c r="J431" s="5">
        <f>(Sales_data[[#This Row],[Sales Amount]]-Sales_data[[#This Row],[TARGET]])</f>
        <v>-13998.08</v>
      </c>
    </row>
    <row r="432" spans="1:10" x14ac:dyDescent="0.3">
      <c r="A432" s="2">
        <v>45982</v>
      </c>
      <c r="B432" s="1" t="s">
        <v>64</v>
      </c>
      <c r="C432" t="s">
        <v>11</v>
      </c>
      <c r="D432" t="s">
        <v>65</v>
      </c>
      <c r="E432" t="s">
        <v>8</v>
      </c>
      <c r="F432">
        <v>1638.56</v>
      </c>
      <c r="G432" t="s">
        <v>9</v>
      </c>
      <c r="H432">
        <v>15000</v>
      </c>
      <c r="I432">
        <f t="shared" si="6"/>
        <v>0</v>
      </c>
      <c r="J432" s="5">
        <f>(Sales_data[[#This Row],[Sales Amount]]-Sales_data[[#This Row],[TARGET]])</f>
        <v>-13361.44</v>
      </c>
    </row>
    <row r="433" spans="1:10" x14ac:dyDescent="0.3">
      <c r="A433" s="2">
        <v>45982</v>
      </c>
      <c r="B433" s="1" t="s">
        <v>62</v>
      </c>
      <c r="C433" t="s">
        <v>13</v>
      </c>
      <c r="D433" t="s">
        <v>63</v>
      </c>
      <c r="E433" t="s">
        <v>8</v>
      </c>
      <c r="F433">
        <v>1910.8</v>
      </c>
      <c r="G433" t="s">
        <v>10</v>
      </c>
      <c r="H433">
        <v>15000</v>
      </c>
      <c r="I433">
        <f t="shared" si="6"/>
        <v>0</v>
      </c>
      <c r="J433" s="5">
        <f>(Sales_data[[#This Row],[Sales Amount]]-Sales_data[[#This Row],[TARGET]])</f>
        <v>-13089.2</v>
      </c>
    </row>
    <row r="434" spans="1:10" x14ac:dyDescent="0.3">
      <c r="A434" s="2">
        <v>45982</v>
      </c>
      <c r="B434" s="1" t="s">
        <v>57</v>
      </c>
      <c r="C434" t="s">
        <v>58</v>
      </c>
      <c r="D434" t="s">
        <v>59</v>
      </c>
      <c r="E434" t="s">
        <v>8</v>
      </c>
      <c r="F434">
        <v>765.82</v>
      </c>
      <c r="G434" t="s">
        <v>12</v>
      </c>
      <c r="H434">
        <v>15000</v>
      </c>
      <c r="I434">
        <f t="shared" si="6"/>
        <v>0</v>
      </c>
      <c r="J434" s="5">
        <f>(Sales_data[[#This Row],[Sales Amount]]-Sales_data[[#This Row],[TARGET]])</f>
        <v>-14234.18</v>
      </c>
    </row>
    <row r="435" spans="1:10" x14ac:dyDescent="0.3">
      <c r="A435" s="2">
        <v>45982</v>
      </c>
      <c r="B435" s="1" t="s">
        <v>62</v>
      </c>
      <c r="C435" t="s">
        <v>13</v>
      </c>
      <c r="D435" t="s">
        <v>63</v>
      </c>
      <c r="E435" t="s">
        <v>8</v>
      </c>
      <c r="F435">
        <v>765.86</v>
      </c>
      <c r="G435" t="s">
        <v>10</v>
      </c>
      <c r="H435">
        <v>15000</v>
      </c>
      <c r="I435">
        <f t="shared" si="6"/>
        <v>0</v>
      </c>
      <c r="J435" s="5">
        <f>(Sales_data[[#This Row],[Sales Amount]]-Sales_data[[#This Row],[TARGET]])</f>
        <v>-14234.14</v>
      </c>
    </row>
    <row r="436" spans="1:10" x14ac:dyDescent="0.3">
      <c r="A436" s="2">
        <v>45982</v>
      </c>
      <c r="B436" s="1" t="s">
        <v>7</v>
      </c>
      <c r="C436" t="s">
        <v>74</v>
      </c>
      <c r="D436" t="s">
        <v>75</v>
      </c>
      <c r="E436" t="s">
        <v>8</v>
      </c>
      <c r="F436">
        <v>4671.6000000000004</v>
      </c>
      <c r="G436" t="s">
        <v>9</v>
      </c>
      <c r="H436">
        <v>15000</v>
      </c>
      <c r="I436">
        <f t="shared" si="6"/>
        <v>0</v>
      </c>
      <c r="J436" s="5">
        <f>(Sales_data[[#This Row],[Sales Amount]]-Sales_data[[#This Row],[TARGET]])</f>
        <v>-10328.4</v>
      </c>
    </row>
    <row r="437" spans="1:10" x14ac:dyDescent="0.3">
      <c r="A437" s="2">
        <v>45982</v>
      </c>
      <c r="B437" s="1" t="s">
        <v>57</v>
      </c>
      <c r="C437" t="s">
        <v>58</v>
      </c>
      <c r="D437" t="s">
        <v>59</v>
      </c>
      <c r="E437" t="s">
        <v>8</v>
      </c>
      <c r="F437">
        <v>1945.6</v>
      </c>
      <c r="G437" t="s">
        <v>9</v>
      </c>
      <c r="H437">
        <v>15000</v>
      </c>
      <c r="I437">
        <f t="shared" si="6"/>
        <v>0</v>
      </c>
      <c r="J437" s="5">
        <f>(Sales_data[[#This Row],[Sales Amount]]-Sales_data[[#This Row],[TARGET]])</f>
        <v>-13054.4</v>
      </c>
    </row>
    <row r="438" spans="1:10" x14ac:dyDescent="0.3">
      <c r="A438" s="2">
        <v>45982</v>
      </c>
      <c r="B438" s="1" t="s">
        <v>62</v>
      </c>
      <c r="C438" t="s">
        <v>13</v>
      </c>
      <c r="D438" t="s">
        <v>63</v>
      </c>
      <c r="E438" t="s">
        <v>8</v>
      </c>
      <c r="F438">
        <v>1017.6</v>
      </c>
      <c r="G438" t="s">
        <v>10</v>
      </c>
      <c r="H438">
        <v>15000</v>
      </c>
      <c r="I438">
        <f t="shared" si="6"/>
        <v>0</v>
      </c>
      <c r="J438" s="5">
        <f>(Sales_data[[#This Row],[Sales Amount]]-Sales_data[[#This Row],[TARGET]])</f>
        <v>-13982.4</v>
      </c>
    </row>
    <row r="439" spans="1:10" x14ac:dyDescent="0.3">
      <c r="A439" s="2">
        <v>45982</v>
      </c>
      <c r="B439" s="1" t="s">
        <v>64</v>
      </c>
      <c r="C439" t="s">
        <v>11</v>
      </c>
      <c r="D439" t="s">
        <v>65</v>
      </c>
      <c r="E439" t="s">
        <v>8</v>
      </c>
      <c r="F439">
        <v>909.86</v>
      </c>
      <c r="G439" t="s">
        <v>12</v>
      </c>
      <c r="H439">
        <v>15000</v>
      </c>
      <c r="I439">
        <f t="shared" si="6"/>
        <v>0</v>
      </c>
      <c r="J439" s="5">
        <f>(Sales_data[[#This Row],[Sales Amount]]-Sales_data[[#This Row],[TARGET]])</f>
        <v>-14090.14</v>
      </c>
    </row>
    <row r="440" spans="1:10" x14ac:dyDescent="0.3">
      <c r="A440" s="2">
        <v>45982</v>
      </c>
      <c r="B440" s="1" t="s">
        <v>64</v>
      </c>
      <c r="C440" t="s">
        <v>11</v>
      </c>
      <c r="D440" t="s">
        <v>65</v>
      </c>
      <c r="E440" t="s">
        <v>8</v>
      </c>
      <c r="F440">
        <v>533.28</v>
      </c>
      <c r="G440" t="s">
        <v>10</v>
      </c>
      <c r="H440">
        <v>15000</v>
      </c>
      <c r="I440">
        <f t="shared" si="6"/>
        <v>0</v>
      </c>
      <c r="J440" s="5">
        <f>(Sales_data[[#This Row],[Sales Amount]]-Sales_data[[#This Row],[TARGET]])</f>
        <v>-14466.72</v>
      </c>
    </row>
    <row r="441" spans="1:10" x14ac:dyDescent="0.3">
      <c r="A441" s="2">
        <v>45982</v>
      </c>
      <c r="B441" s="1" t="s">
        <v>60</v>
      </c>
      <c r="C441" t="s">
        <v>14</v>
      </c>
      <c r="D441" t="s">
        <v>61</v>
      </c>
      <c r="E441" t="s">
        <v>8</v>
      </c>
      <c r="F441">
        <v>346.5</v>
      </c>
      <c r="G441" t="s">
        <v>10</v>
      </c>
      <c r="H441">
        <v>15000</v>
      </c>
      <c r="I441">
        <f t="shared" si="6"/>
        <v>0</v>
      </c>
      <c r="J441" s="5">
        <f>(Sales_data[[#This Row],[Sales Amount]]-Sales_data[[#This Row],[TARGET]])</f>
        <v>-14653.5</v>
      </c>
    </row>
    <row r="442" spans="1:10" x14ac:dyDescent="0.3">
      <c r="A442" s="2">
        <v>45982</v>
      </c>
      <c r="B442" s="1" t="s">
        <v>62</v>
      </c>
      <c r="C442" t="s">
        <v>13</v>
      </c>
      <c r="D442" t="s">
        <v>63</v>
      </c>
      <c r="E442" t="s">
        <v>8</v>
      </c>
      <c r="F442">
        <v>806.56</v>
      </c>
      <c r="G442" t="s">
        <v>12</v>
      </c>
      <c r="H442">
        <v>15000</v>
      </c>
      <c r="I442">
        <f t="shared" si="6"/>
        <v>0</v>
      </c>
      <c r="J442" s="5">
        <f>(Sales_data[[#This Row],[Sales Amount]]-Sales_data[[#This Row],[TARGET]])</f>
        <v>-14193.44</v>
      </c>
    </row>
    <row r="443" spans="1:10" x14ac:dyDescent="0.3">
      <c r="A443" s="2">
        <v>45982</v>
      </c>
      <c r="B443" s="1" t="s">
        <v>62</v>
      </c>
      <c r="C443" t="s">
        <v>13</v>
      </c>
      <c r="D443" t="s">
        <v>63</v>
      </c>
      <c r="E443" t="s">
        <v>8</v>
      </c>
      <c r="F443">
        <v>1154.3</v>
      </c>
      <c r="G443" t="s">
        <v>9</v>
      </c>
      <c r="H443">
        <v>15000</v>
      </c>
      <c r="I443">
        <f t="shared" si="6"/>
        <v>0</v>
      </c>
      <c r="J443" s="5">
        <f>(Sales_data[[#This Row],[Sales Amount]]-Sales_data[[#This Row],[TARGET]])</f>
        <v>-13845.7</v>
      </c>
    </row>
    <row r="444" spans="1:10" x14ac:dyDescent="0.3">
      <c r="A444" s="2">
        <v>45982</v>
      </c>
      <c r="B444" s="1" t="s">
        <v>7</v>
      </c>
      <c r="C444" t="s">
        <v>74</v>
      </c>
      <c r="D444" t="s">
        <v>75</v>
      </c>
      <c r="E444" t="s">
        <v>8</v>
      </c>
      <c r="F444">
        <v>1115.55</v>
      </c>
      <c r="G444" t="s">
        <v>9</v>
      </c>
      <c r="H444">
        <v>15000</v>
      </c>
      <c r="I444">
        <f t="shared" si="6"/>
        <v>0</v>
      </c>
      <c r="J444" s="5">
        <f>(Sales_data[[#This Row],[Sales Amount]]-Sales_data[[#This Row],[TARGET]])</f>
        <v>-13884.45</v>
      </c>
    </row>
    <row r="445" spans="1:10" x14ac:dyDescent="0.3">
      <c r="A445" s="2">
        <v>45982</v>
      </c>
      <c r="B445" s="1" t="s">
        <v>62</v>
      </c>
      <c r="C445" t="s">
        <v>13</v>
      </c>
      <c r="D445" t="s">
        <v>63</v>
      </c>
      <c r="E445" t="s">
        <v>8</v>
      </c>
      <c r="F445">
        <v>1064.9000000000001</v>
      </c>
      <c r="G445" t="s">
        <v>12</v>
      </c>
      <c r="H445">
        <v>15000</v>
      </c>
      <c r="I445">
        <f t="shared" si="6"/>
        <v>0</v>
      </c>
      <c r="J445" s="5">
        <f>(Sales_data[[#This Row],[Sales Amount]]-Sales_data[[#This Row],[TARGET]])</f>
        <v>-13935.1</v>
      </c>
    </row>
    <row r="446" spans="1:10" x14ac:dyDescent="0.3">
      <c r="A446" s="2">
        <v>45982</v>
      </c>
      <c r="B446" s="1" t="s">
        <v>62</v>
      </c>
      <c r="C446" t="s">
        <v>13</v>
      </c>
      <c r="D446" t="s">
        <v>63</v>
      </c>
      <c r="E446" t="s">
        <v>8</v>
      </c>
      <c r="F446">
        <v>2439.5100000000002</v>
      </c>
      <c r="G446" t="s">
        <v>9</v>
      </c>
      <c r="H446">
        <v>15000</v>
      </c>
      <c r="I446">
        <f t="shared" si="6"/>
        <v>0</v>
      </c>
      <c r="J446" s="5">
        <f>(Sales_data[[#This Row],[Sales Amount]]-Sales_data[[#This Row],[TARGET]])</f>
        <v>-12560.49</v>
      </c>
    </row>
    <row r="447" spans="1:10" x14ac:dyDescent="0.3">
      <c r="A447" s="2">
        <v>45982</v>
      </c>
      <c r="B447" s="1" t="s">
        <v>62</v>
      </c>
      <c r="C447" t="s">
        <v>13</v>
      </c>
      <c r="D447" t="s">
        <v>63</v>
      </c>
      <c r="E447" t="s">
        <v>8</v>
      </c>
      <c r="F447">
        <v>1563.32</v>
      </c>
      <c r="G447" t="s">
        <v>10</v>
      </c>
      <c r="H447">
        <v>15000</v>
      </c>
      <c r="I447">
        <f t="shared" si="6"/>
        <v>0</v>
      </c>
      <c r="J447" s="5">
        <f>(Sales_data[[#This Row],[Sales Amount]]-Sales_data[[#This Row],[TARGET]])</f>
        <v>-13436.68</v>
      </c>
    </row>
    <row r="448" spans="1:10" x14ac:dyDescent="0.3">
      <c r="A448" s="2">
        <v>45982</v>
      </c>
      <c r="B448" s="1" t="s">
        <v>64</v>
      </c>
      <c r="C448" t="s">
        <v>11</v>
      </c>
      <c r="D448" t="s">
        <v>65</v>
      </c>
      <c r="E448" t="s">
        <v>8</v>
      </c>
      <c r="F448">
        <v>1067.94</v>
      </c>
      <c r="G448" t="s">
        <v>12</v>
      </c>
      <c r="H448">
        <v>15000</v>
      </c>
      <c r="I448">
        <f t="shared" si="6"/>
        <v>0</v>
      </c>
      <c r="J448" s="5">
        <f>(Sales_data[[#This Row],[Sales Amount]]-Sales_data[[#This Row],[TARGET]])</f>
        <v>-13932.06</v>
      </c>
    </row>
    <row r="449" spans="1:10" x14ac:dyDescent="0.3">
      <c r="A449" s="2">
        <v>45982</v>
      </c>
      <c r="B449" s="1" t="s">
        <v>62</v>
      </c>
      <c r="C449" t="s">
        <v>13</v>
      </c>
      <c r="D449" t="s">
        <v>63</v>
      </c>
      <c r="E449" t="s">
        <v>8</v>
      </c>
      <c r="F449">
        <v>2086.84</v>
      </c>
      <c r="G449" t="s">
        <v>10</v>
      </c>
      <c r="H449">
        <v>15000</v>
      </c>
      <c r="I449">
        <f t="shared" si="6"/>
        <v>0</v>
      </c>
      <c r="J449" s="5">
        <f>(Sales_data[[#This Row],[Sales Amount]]-Sales_data[[#This Row],[TARGET]])</f>
        <v>-12913.16</v>
      </c>
    </row>
    <row r="450" spans="1:10" x14ac:dyDescent="0.3">
      <c r="A450" s="2">
        <v>45982</v>
      </c>
      <c r="B450" s="1" t="s">
        <v>62</v>
      </c>
      <c r="C450" t="s">
        <v>13</v>
      </c>
      <c r="D450" t="s">
        <v>63</v>
      </c>
      <c r="E450" t="s">
        <v>8</v>
      </c>
      <c r="F450">
        <v>1006.72</v>
      </c>
      <c r="G450" t="s">
        <v>12</v>
      </c>
      <c r="H450">
        <v>15000</v>
      </c>
      <c r="I450">
        <f t="shared" si="6"/>
        <v>0</v>
      </c>
      <c r="J450" s="5">
        <f>(Sales_data[[#This Row],[Sales Amount]]-Sales_data[[#This Row],[TARGET]])</f>
        <v>-13993.28</v>
      </c>
    </row>
    <row r="451" spans="1:10" x14ac:dyDescent="0.3">
      <c r="A451" s="2">
        <v>45982</v>
      </c>
      <c r="B451" s="1" t="s">
        <v>62</v>
      </c>
      <c r="C451" t="s">
        <v>13</v>
      </c>
      <c r="D451" t="s">
        <v>63</v>
      </c>
      <c r="E451" t="s">
        <v>8</v>
      </c>
      <c r="F451">
        <v>957.48</v>
      </c>
      <c r="G451" t="s">
        <v>10</v>
      </c>
      <c r="H451">
        <v>15000</v>
      </c>
      <c r="I451">
        <f t="shared" ref="I451:I489" si="7">IF(F451&gt;=H451,0.1*F451,0)</f>
        <v>0</v>
      </c>
      <c r="J451" s="5">
        <f>(Sales_data[[#This Row],[Sales Amount]]-Sales_data[[#This Row],[TARGET]])</f>
        <v>-14042.52</v>
      </c>
    </row>
    <row r="452" spans="1:10" x14ac:dyDescent="0.3">
      <c r="A452" s="2">
        <v>45982</v>
      </c>
      <c r="B452" s="1" t="s">
        <v>60</v>
      </c>
      <c r="C452" t="s">
        <v>14</v>
      </c>
      <c r="D452" t="s">
        <v>61</v>
      </c>
      <c r="E452" t="s">
        <v>8</v>
      </c>
      <c r="F452">
        <v>1506.12</v>
      </c>
      <c r="G452" t="s">
        <v>10</v>
      </c>
      <c r="H452">
        <v>15000</v>
      </c>
      <c r="I452">
        <f t="shared" si="7"/>
        <v>0</v>
      </c>
      <c r="J452" s="5">
        <f>(Sales_data[[#This Row],[Sales Amount]]-Sales_data[[#This Row],[TARGET]])</f>
        <v>-13493.880000000001</v>
      </c>
    </row>
    <row r="453" spans="1:10" x14ac:dyDescent="0.3">
      <c r="A453" s="2">
        <v>45982</v>
      </c>
      <c r="B453" s="1" t="s">
        <v>60</v>
      </c>
      <c r="C453" t="s">
        <v>14</v>
      </c>
      <c r="D453" t="s">
        <v>61</v>
      </c>
      <c r="E453" t="s">
        <v>8</v>
      </c>
      <c r="F453">
        <v>3965.39</v>
      </c>
      <c r="G453" t="s">
        <v>12</v>
      </c>
      <c r="H453">
        <v>15000</v>
      </c>
      <c r="I453">
        <f t="shared" si="7"/>
        <v>0</v>
      </c>
      <c r="J453" s="5">
        <f>(Sales_data[[#This Row],[Sales Amount]]-Sales_data[[#This Row],[TARGET]])</f>
        <v>-11034.61</v>
      </c>
    </row>
    <row r="454" spans="1:10" x14ac:dyDescent="0.3">
      <c r="A454" s="2">
        <v>45982</v>
      </c>
      <c r="B454" s="1" t="s">
        <v>7</v>
      </c>
      <c r="C454" t="s">
        <v>74</v>
      </c>
      <c r="D454" t="s">
        <v>75</v>
      </c>
      <c r="E454" t="s">
        <v>8</v>
      </c>
      <c r="F454">
        <v>3719.25</v>
      </c>
      <c r="G454" t="s">
        <v>12</v>
      </c>
      <c r="H454">
        <v>15000</v>
      </c>
      <c r="I454">
        <f t="shared" si="7"/>
        <v>0</v>
      </c>
      <c r="J454" s="5">
        <f>(Sales_data[[#This Row],[Sales Amount]]-Sales_data[[#This Row],[TARGET]])</f>
        <v>-11280.75</v>
      </c>
    </row>
    <row r="455" spans="1:10" x14ac:dyDescent="0.3">
      <c r="A455" s="2">
        <v>45986</v>
      </c>
      <c r="B455" s="1" t="s">
        <v>62</v>
      </c>
      <c r="C455" t="s">
        <v>13</v>
      </c>
      <c r="D455" t="s">
        <v>63</v>
      </c>
      <c r="E455" t="s">
        <v>8</v>
      </c>
      <c r="F455">
        <v>1430.16</v>
      </c>
      <c r="G455" t="s">
        <v>10</v>
      </c>
      <c r="H455">
        <v>15000</v>
      </c>
      <c r="I455">
        <f t="shared" si="7"/>
        <v>0</v>
      </c>
      <c r="J455" s="5">
        <f>(Sales_data[[#This Row],[Sales Amount]]-Sales_data[[#This Row],[TARGET]])</f>
        <v>-13569.84</v>
      </c>
    </row>
    <row r="456" spans="1:10" x14ac:dyDescent="0.3">
      <c r="A456" s="2">
        <v>45986</v>
      </c>
      <c r="B456" s="1" t="s">
        <v>64</v>
      </c>
      <c r="C456" t="s">
        <v>11</v>
      </c>
      <c r="D456" t="s">
        <v>65</v>
      </c>
      <c r="E456" t="s">
        <v>8</v>
      </c>
      <c r="F456">
        <v>1726.2</v>
      </c>
      <c r="G456" t="s">
        <v>10</v>
      </c>
      <c r="H456">
        <v>15000</v>
      </c>
      <c r="I456">
        <f t="shared" si="7"/>
        <v>0</v>
      </c>
      <c r="J456" s="5">
        <f>(Sales_data[[#This Row],[Sales Amount]]-Sales_data[[#This Row],[TARGET]])</f>
        <v>-13273.8</v>
      </c>
    </row>
    <row r="457" spans="1:10" x14ac:dyDescent="0.3">
      <c r="A457" s="2">
        <v>45986</v>
      </c>
      <c r="B457" s="1" t="s">
        <v>57</v>
      </c>
      <c r="C457" t="s">
        <v>58</v>
      </c>
      <c r="D457" t="s">
        <v>59</v>
      </c>
      <c r="E457" t="s">
        <v>8</v>
      </c>
      <c r="F457">
        <v>1045.1199999999999</v>
      </c>
      <c r="G457" t="s">
        <v>9</v>
      </c>
      <c r="H457">
        <v>15000</v>
      </c>
      <c r="I457">
        <f t="shared" si="7"/>
        <v>0</v>
      </c>
      <c r="J457" s="5">
        <f>(Sales_data[[#This Row],[Sales Amount]]-Sales_data[[#This Row],[TARGET]])</f>
        <v>-13954.880000000001</v>
      </c>
    </row>
    <row r="458" spans="1:10" x14ac:dyDescent="0.3">
      <c r="A458" s="2">
        <v>45986</v>
      </c>
      <c r="B458" s="1" t="s">
        <v>62</v>
      </c>
      <c r="C458" t="s">
        <v>13</v>
      </c>
      <c r="D458" t="s">
        <v>63</v>
      </c>
      <c r="E458" t="s">
        <v>8</v>
      </c>
      <c r="F458">
        <v>1432.95</v>
      </c>
      <c r="G458" t="s">
        <v>9</v>
      </c>
      <c r="H458">
        <v>15000</v>
      </c>
      <c r="I458">
        <f t="shared" si="7"/>
        <v>0</v>
      </c>
      <c r="J458" s="5">
        <f>(Sales_data[[#This Row],[Sales Amount]]-Sales_data[[#This Row],[TARGET]])</f>
        <v>-13567.05</v>
      </c>
    </row>
    <row r="459" spans="1:10" x14ac:dyDescent="0.3">
      <c r="A459" s="2">
        <v>45986</v>
      </c>
      <c r="B459" s="1" t="s">
        <v>62</v>
      </c>
      <c r="C459" t="s">
        <v>13</v>
      </c>
      <c r="D459" t="s">
        <v>63</v>
      </c>
      <c r="E459" t="s">
        <v>8</v>
      </c>
      <c r="F459">
        <v>3140.7</v>
      </c>
      <c r="G459" t="s">
        <v>10</v>
      </c>
      <c r="H459">
        <v>15000</v>
      </c>
      <c r="I459">
        <f t="shared" si="7"/>
        <v>0</v>
      </c>
      <c r="J459" s="5">
        <f>(Sales_data[[#This Row],[Sales Amount]]-Sales_data[[#This Row],[TARGET]])</f>
        <v>-11859.3</v>
      </c>
    </row>
    <row r="460" spans="1:10" x14ac:dyDescent="0.3">
      <c r="A460" s="2">
        <v>45986</v>
      </c>
      <c r="B460" s="1" t="s">
        <v>62</v>
      </c>
      <c r="C460" t="s">
        <v>13</v>
      </c>
      <c r="D460" t="s">
        <v>63</v>
      </c>
      <c r="E460" t="s">
        <v>8</v>
      </c>
      <c r="F460">
        <v>869.4</v>
      </c>
      <c r="G460" t="s">
        <v>9</v>
      </c>
      <c r="H460">
        <v>15000</v>
      </c>
      <c r="I460">
        <f t="shared" si="7"/>
        <v>0</v>
      </c>
      <c r="J460" s="5">
        <f>(Sales_data[[#This Row],[Sales Amount]]-Sales_data[[#This Row],[TARGET]])</f>
        <v>-14130.6</v>
      </c>
    </row>
    <row r="461" spans="1:10" x14ac:dyDescent="0.3">
      <c r="A461" s="2">
        <v>46012</v>
      </c>
      <c r="B461" s="1" t="s">
        <v>64</v>
      </c>
      <c r="C461" t="s">
        <v>11</v>
      </c>
      <c r="D461" t="s">
        <v>65</v>
      </c>
      <c r="E461" t="s">
        <v>8</v>
      </c>
      <c r="F461">
        <v>3564.75</v>
      </c>
      <c r="G461" t="s">
        <v>12</v>
      </c>
      <c r="H461">
        <v>15000</v>
      </c>
      <c r="I461">
        <f t="shared" si="7"/>
        <v>0</v>
      </c>
      <c r="J461" s="5">
        <f>(Sales_data[[#This Row],[Sales Amount]]-Sales_data[[#This Row],[TARGET]])</f>
        <v>-11435.25</v>
      </c>
    </row>
    <row r="462" spans="1:10" x14ac:dyDescent="0.3">
      <c r="A462" s="2">
        <v>46012</v>
      </c>
      <c r="B462" s="1" t="s">
        <v>62</v>
      </c>
      <c r="C462" t="s">
        <v>13</v>
      </c>
      <c r="D462" t="s">
        <v>63</v>
      </c>
      <c r="E462" t="s">
        <v>8</v>
      </c>
      <c r="F462">
        <v>911.6</v>
      </c>
      <c r="G462" t="s">
        <v>9</v>
      </c>
      <c r="H462">
        <v>15000</v>
      </c>
      <c r="I462">
        <f t="shared" si="7"/>
        <v>0</v>
      </c>
      <c r="J462" s="5">
        <f>(Sales_data[[#This Row],[Sales Amount]]-Sales_data[[#This Row],[TARGET]])</f>
        <v>-14088.4</v>
      </c>
    </row>
    <row r="463" spans="1:10" x14ac:dyDescent="0.3">
      <c r="A463" s="2">
        <v>46012</v>
      </c>
      <c r="B463" s="1" t="s">
        <v>64</v>
      </c>
      <c r="C463" t="s">
        <v>11</v>
      </c>
      <c r="D463" t="s">
        <v>65</v>
      </c>
      <c r="E463" t="s">
        <v>8</v>
      </c>
      <c r="F463">
        <v>1011.03</v>
      </c>
      <c r="G463" t="s">
        <v>9</v>
      </c>
      <c r="H463">
        <v>15000</v>
      </c>
      <c r="I463">
        <f t="shared" si="7"/>
        <v>0</v>
      </c>
      <c r="J463" s="5">
        <f>(Sales_data[[#This Row],[Sales Amount]]-Sales_data[[#This Row],[TARGET]])</f>
        <v>-13988.97</v>
      </c>
    </row>
    <row r="464" spans="1:10" x14ac:dyDescent="0.3">
      <c r="A464" s="2">
        <v>46012</v>
      </c>
      <c r="B464" s="1" t="s">
        <v>60</v>
      </c>
      <c r="C464" t="s">
        <v>14</v>
      </c>
      <c r="D464" t="s">
        <v>61</v>
      </c>
      <c r="E464" t="s">
        <v>8</v>
      </c>
      <c r="F464">
        <v>2795.68</v>
      </c>
      <c r="G464" t="s">
        <v>10</v>
      </c>
      <c r="H464">
        <v>15000</v>
      </c>
      <c r="I464">
        <f t="shared" si="7"/>
        <v>0</v>
      </c>
      <c r="J464" s="5">
        <f>(Sales_data[[#This Row],[Sales Amount]]-Sales_data[[#This Row],[TARGET]])</f>
        <v>-12204.32</v>
      </c>
    </row>
    <row r="465" spans="1:10" x14ac:dyDescent="0.3">
      <c r="A465" s="2">
        <v>46012</v>
      </c>
      <c r="B465" s="1" t="s">
        <v>60</v>
      </c>
      <c r="C465" t="s">
        <v>14</v>
      </c>
      <c r="D465" t="s">
        <v>61</v>
      </c>
      <c r="E465" t="s">
        <v>8</v>
      </c>
      <c r="F465">
        <v>2767.09</v>
      </c>
      <c r="G465" t="s">
        <v>12</v>
      </c>
      <c r="H465">
        <v>15000</v>
      </c>
      <c r="I465">
        <f t="shared" si="7"/>
        <v>0</v>
      </c>
      <c r="J465" s="5">
        <f>(Sales_data[[#This Row],[Sales Amount]]-Sales_data[[#This Row],[TARGET]])</f>
        <v>-12232.91</v>
      </c>
    </row>
    <row r="466" spans="1:10" x14ac:dyDescent="0.3">
      <c r="A466" s="2">
        <v>46012</v>
      </c>
      <c r="B466" s="1" t="s">
        <v>64</v>
      </c>
      <c r="C466" t="s">
        <v>11</v>
      </c>
      <c r="D466" t="s">
        <v>65</v>
      </c>
      <c r="E466" t="s">
        <v>8</v>
      </c>
      <c r="F466">
        <v>798.27</v>
      </c>
      <c r="G466" t="s">
        <v>12</v>
      </c>
      <c r="H466">
        <v>15000</v>
      </c>
      <c r="I466">
        <f t="shared" si="7"/>
        <v>0</v>
      </c>
      <c r="J466" s="5">
        <f>(Sales_data[[#This Row],[Sales Amount]]-Sales_data[[#This Row],[TARGET]])</f>
        <v>-14201.73</v>
      </c>
    </row>
    <row r="467" spans="1:10" x14ac:dyDescent="0.3">
      <c r="A467" s="2">
        <v>46012</v>
      </c>
      <c r="B467" s="1" t="s">
        <v>60</v>
      </c>
      <c r="C467" t="s">
        <v>14</v>
      </c>
      <c r="D467" t="s">
        <v>61</v>
      </c>
      <c r="E467" t="s">
        <v>8</v>
      </c>
      <c r="F467">
        <v>2510.2399999999998</v>
      </c>
      <c r="G467" t="s">
        <v>10</v>
      </c>
      <c r="H467">
        <v>15000</v>
      </c>
      <c r="I467">
        <f t="shared" si="7"/>
        <v>0</v>
      </c>
      <c r="J467" s="5">
        <f>(Sales_data[[#This Row],[Sales Amount]]-Sales_data[[#This Row],[TARGET]])</f>
        <v>-12489.76</v>
      </c>
    </row>
    <row r="468" spans="1:10" x14ac:dyDescent="0.3">
      <c r="A468" s="2">
        <v>46012</v>
      </c>
      <c r="B468" s="1" t="s">
        <v>64</v>
      </c>
      <c r="C468" t="s">
        <v>11</v>
      </c>
      <c r="D468" t="s">
        <v>65</v>
      </c>
      <c r="E468" t="s">
        <v>8</v>
      </c>
      <c r="F468">
        <v>3690.72</v>
      </c>
      <c r="G468" t="s">
        <v>10</v>
      </c>
      <c r="H468">
        <v>15000</v>
      </c>
      <c r="I468">
        <f t="shared" si="7"/>
        <v>0</v>
      </c>
      <c r="J468" s="5">
        <f>(Sales_data[[#This Row],[Sales Amount]]-Sales_data[[#This Row],[TARGET]])</f>
        <v>-11309.28</v>
      </c>
    </row>
    <row r="469" spans="1:10" x14ac:dyDescent="0.3">
      <c r="A469" s="2">
        <v>46012</v>
      </c>
      <c r="B469" s="1" t="s">
        <v>66</v>
      </c>
      <c r="C469" t="s">
        <v>74</v>
      </c>
      <c r="D469" t="s">
        <v>67</v>
      </c>
      <c r="E469" t="s">
        <v>8</v>
      </c>
      <c r="F469">
        <v>670.89</v>
      </c>
      <c r="G469" t="s">
        <v>12</v>
      </c>
      <c r="H469">
        <v>15000</v>
      </c>
      <c r="I469">
        <f t="shared" si="7"/>
        <v>0</v>
      </c>
      <c r="J469" s="5">
        <f>(Sales_data[[#This Row],[Sales Amount]]-Sales_data[[#This Row],[TARGET]])</f>
        <v>-14329.11</v>
      </c>
    </row>
    <row r="470" spans="1:10" x14ac:dyDescent="0.3">
      <c r="A470" s="2">
        <v>46012</v>
      </c>
      <c r="B470" s="1" t="s">
        <v>62</v>
      </c>
      <c r="C470" t="s">
        <v>13</v>
      </c>
      <c r="D470" t="s">
        <v>63</v>
      </c>
      <c r="E470" t="s">
        <v>8</v>
      </c>
      <c r="F470">
        <v>2012.8</v>
      </c>
      <c r="G470" t="s">
        <v>12</v>
      </c>
      <c r="H470">
        <v>15000</v>
      </c>
      <c r="I470">
        <f t="shared" si="7"/>
        <v>0</v>
      </c>
      <c r="J470" s="5">
        <f>(Sales_data[[#This Row],[Sales Amount]]-Sales_data[[#This Row],[TARGET]])</f>
        <v>-12987.2</v>
      </c>
    </row>
    <row r="471" spans="1:10" x14ac:dyDescent="0.3">
      <c r="A471" s="2">
        <v>46012</v>
      </c>
      <c r="B471" s="1" t="s">
        <v>66</v>
      </c>
      <c r="C471" t="s">
        <v>74</v>
      </c>
      <c r="D471" t="s">
        <v>67</v>
      </c>
      <c r="E471" t="s">
        <v>8</v>
      </c>
      <c r="F471">
        <v>2116.8000000000002</v>
      </c>
      <c r="G471" t="s">
        <v>9</v>
      </c>
      <c r="H471">
        <v>15000</v>
      </c>
      <c r="I471">
        <f t="shared" si="7"/>
        <v>0</v>
      </c>
      <c r="J471" s="5">
        <f>(Sales_data[[#This Row],[Sales Amount]]-Sales_data[[#This Row],[TARGET]])</f>
        <v>-12883.2</v>
      </c>
    </row>
    <row r="472" spans="1:10" x14ac:dyDescent="0.3">
      <c r="A472" s="2">
        <v>46012</v>
      </c>
      <c r="B472" s="1" t="s">
        <v>57</v>
      </c>
      <c r="C472" t="s">
        <v>58</v>
      </c>
      <c r="D472" t="s">
        <v>59</v>
      </c>
      <c r="E472" t="s">
        <v>8</v>
      </c>
      <c r="F472">
        <v>1158.04</v>
      </c>
      <c r="G472" t="s">
        <v>10</v>
      </c>
      <c r="H472">
        <v>15000</v>
      </c>
      <c r="I472">
        <f t="shared" si="7"/>
        <v>0</v>
      </c>
      <c r="J472" s="5">
        <f>(Sales_data[[#This Row],[Sales Amount]]-Sales_data[[#This Row],[TARGET]])</f>
        <v>-13841.96</v>
      </c>
    </row>
    <row r="473" spans="1:10" x14ac:dyDescent="0.3">
      <c r="A473" s="2">
        <v>46012</v>
      </c>
      <c r="B473" s="1" t="s">
        <v>57</v>
      </c>
      <c r="C473" t="s">
        <v>58</v>
      </c>
      <c r="D473" t="s">
        <v>59</v>
      </c>
      <c r="E473" t="s">
        <v>8</v>
      </c>
      <c r="F473">
        <v>1680.64</v>
      </c>
      <c r="G473" t="s">
        <v>9</v>
      </c>
      <c r="H473">
        <v>15000</v>
      </c>
      <c r="I473">
        <f t="shared" si="7"/>
        <v>0</v>
      </c>
      <c r="J473" s="5">
        <f>(Sales_data[[#This Row],[Sales Amount]]-Sales_data[[#This Row],[TARGET]])</f>
        <v>-13319.36</v>
      </c>
    </row>
    <row r="474" spans="1:10" x14ac:dyDescent="0.3">
      <c r="A474" s="2">
        <v>46012</v>
      </c>
      <c r="B474" s="1" t="s">
        <v>64</v>
      </c>
      <c r="C474" t="s">
        <v>11</v>
      </c>
      <c r="D474" t="s">
        <v>65</v>
      </c>
      <c r="E474" t="s">
        <v>8</v>
      </c>
      <c r="F474">
        <v>690</v>
      </c>
      <c r="G474" t="s">
        <v>10</v>
      </c>
      <c r="H474">
        <v>15000</v>
      </c>
      <c r="I474">
        <f t="shared" si="7"/>
        <v>0</v>
      </c>
      <c r="J474" s="5">
        <f>(Sales_data[[#This Row],[Sales Amount]]-Sales_data[[#This Row],[TARGET]])</f>
        <v>-14310</v>
      </c>
    </row>
    <row r="475" spans="1:10" x14ac:dyDescent="0.3">
      <c r="A475" s="2">
        <v>46012</v>
      </c>
      <c r="B475" s="1" t="s">
        <v>62</v>
      </c>
      <c r="C475" t="s">
        <v>13</v>
      </c>
      <c r="D475" t="s">
        <v>63</v>
      </c>
      <c r="E475" t="s">
        <v>8</v>
      </c>
      <c r="F475">
        <v>1430.29</v>
      </c>
      <c r="G475" t="s">
        <v>9</v>
      </c>
      <c r="H475">
        <v>15000</v>
      </c>
      <c r="I475">
        <f t="shared" si="7"/>
        <v>0</v>
      </c>
      <c r="J475" s="5">
        <f>(Sales_data[[#This Row],[Sales Amount]]-Sales_data[[#This Row],[TARGET]])</f>
        <v>-13569.71</v>
      </c>
    </row>
    <row r="476" spans="1:10" x14ac:dyDescent="0.3">
      <c r="A476" s="2">
        <v>46012</v>
      </c>
      <c r="B476" s="1" t="s">
        <v>60</v>
      </c>
      <c r="C476" t="s">
        <v>14</v>
      </c>
      <c r="D476" t="s">
        <v>61</v>
      </c>
      <c r="E476" t="s">
        <v>8</v>
      </c>
      <c r="F476">
        <v>2079.7199999999998</v>
      </c>
      <c r="G476" t="s">
        <v>10</v>
      </c>
      <c r="H476">
        <v>15000</v>
      </c>
      <c r="I476">
        <f t="shared" si="7"/>
        <v>0</v>
      </c>
      <c r="J476" s="5">
        <f>(Sales_data[[#This Row],[Sales Amount]]-Sales_data[[#This Row],[TARGET]])</f>
        <v>-12920.28</v>
      </c>
    </row>
    <row r="477" spans="1:10" x14ac:dyDescent="0.3">
      <c r="A477" s="2">
        <v>46012</v>
      </c>
      <c r="B477" s="1" t="s">
        <v>66</v>
      </c>
      <c r="C477" t="s">
        <v>74</v>
      </c>
      <c r="D477" t="s">
        <v>67</v>
      </c>
      <c r="E477" t="s">
        <v>8</v>
      </c>
      <c r="F477">
        <v>2686.6</v>
      </c>
      <c r="G477" t="s">
        <v>12</v>
      </c>
      <c r="H477">
        <v>15000</v>
      </c>
      <c r="I477">
        <f t="shared" si="7"/>
        <v>0</v>
      </c>
      <c r="J477" s="5">
        <f>(Sales_data[[#This Row],[Sales Amount]]-Sales_data[[#This Row],[TARGET]])</f>
        <v>-12313.4</v>
      </c>
    </row>
    <row r="478" spans="1:10" x14ac:dyDescent="0.3">
      <c r="A478" s="2">
        <v>46012</v>
      </c>
      <c r="B478" s="1" t="s">
        <v>66</v>
      </c>
      <c r="C478" t="s">
        <v>74</v>
      </c>
      <c r="D478" t="s">
        <v>67</v>
      </c>
      <c r="E478" t="s">
        <v>8</v>
      </c>
      <c r="F478">
        <v>968.3</v>
      </c>
      <c r="G478" t="s">
        <v>12</v>
      </c>
      <c r="H478">
        <v>15000</v>
      </c>
      <c r="I478">
        <f t="shared" si="7"/>
        <v>0</v>
      </c>
      <c r="J478" s="5">
        <f>(Sales_data[[#This Row],[Sales Amount]]-Sales_data[[#This Row],[TARGET]])</f>
        <v>-14031.7</v>
      </c>
    </row>
    <row r="479" spans="1:10" x14ac:dyDescent="0.3">
      <c r="A479" s="2">
        <v>46012</v>
      </c>
      <c r="B479" s="1" t="s">
        <v>57</v>
      </c>
      <c r="C479" t="s">
        <v>58</v>
      </c>
      <c r="D479" t="s">
        <v>59</v>
      </c>
      <c r="E479" t="s">
        <v>8</v>
      </c>
      <c r="F479">
        <v>4142.07</v>
      </c>
      <c r="G479" t="s">
        <v>9</v>
      </c>
      <c r="H479">
        <v>15000</v>
      </c>
      <c r="I479">
        <f t="shared" si="7"/>
        <v>0</v>
      </c>
      <c r="J479" s="5">
        <f>(Sales_data[[#This Row],[Sales Amount]]-Sales_data[[#This Row],[TARGET]])</f>
        <v>-10857.93</v>
      </c>
    </row>
    <row r="480" spans="1:10" x14ac:dyDescent="0.3">
      <c r="A480" s="2">
        <v>46012</v>
      </c>
      <c r="B480" s="1" t="s">
        <v>60</v>
      </c>
      <c r="C480" t="s">
        <v>14</v>
      </c>
      <c r="D480" t="s">
        <v>61</v>
      </c>
      <c r="E480" t="s">
        <v>8</v>
      </c>
      <c r="F480">
        <v>1069.47</v>
      </c>
      <c r="G480" t="s">
        <v>12</v>
      </c>
      <c r="H480">
        <v>15000</v>
      </c>
      <c r="I480">
        <f t="shared" si="7"/>
        <v>0</v>
      </c>
      <c r="J480" s="5">
        <f>(Sales_data[[#This Row],[Sales Amount]]-Sales_data[[#This Row],[TARGET]])</f>
        <v>-13930.53</v>
      </c>
    </row>
    <row r="481" spans="1:10" x14ac:dyDescent="0.3">
      <c r="A481" s="2">
        <v>46012</v>
      </c>
      <c r="B481" s="1" t="s">
        <v>64</v>
      </c>
      <c r="C481" t="s">
        <v>11</v>
      </c>
      <c r="D481" t="s">
        <v>65</v>
      </c>
      <c r="E481" t="s">
        <v>8</v>
      </c>
      <c r="F481">
        <v>1059.52</v>
      </c>
      <c r="G481" t="s">
        <v>12</v>
      </c>
      <c r="H481">
        <v>15000</v>
      </c>
      <c r="I481">
        <f t="shared" si="7"/>
        <v>0</v>
      </c>
      <c r="J481" s="5">
        <f>(Sales_data[[#This Row],[Sales Amount]]-Sales_data[[#This Row],[TARGET]])</f>
        <v>-13940.48</v>
      </c>
    </row>
    <row r="482" spans="1:10" x14ac:dyDescent="0.3">
      <c r="A482" s="2">
        <v>46012</v>
      </c>
      <c r="B482" s="1" t="s">
        <v>64</v>
      </c>
      <c r="C482" t="s">
        <v>11</v>
      </c>
      <c r="D482" t="s">
        <v>65</v>
      </c>
      <c r="E482" t="s">
        <v>8</v>
      </c>
      <c r="F482">
        <v>1423.54</v>
      </c>
      <c r="G482" t="s">
        <v>12</v>
      </c>
      <c r="H482">
        <v>15000</v>
      </c>
      <c r="I482">
        <f t="shared" si="7"/>
        <v>0</v>
      </c>
      <c r="J482" s="5">
        <f>(Sales_data[[#This Row],[Sales Amount]]-Sales_data[[#This Row],[TARGET]])</f>
        <v>-13576.46</v>
      </c>
    </row>
    <row r="483" spans="1:10" x14ac:dyDescent="0.3">
      <c r="A483" s="2">
        <v>46012</v>
      </c>
      <c r="B483" s="1" t="s">
        <v>64</v>
      </c>
      <c r="C483" t="s">
        <v>11</v>
      </c>
      <c r="D483" t="s">
        <v>65</v>
      </c>
      <c r="E483" t="s">
        <v>8</v>
      </c>
      <c r="F483">
        <v>3653.02</v>
      </c>
      <c r="G483" t="s">
        <v>10</v>
      </c>
      <c r="H483">
        <v>15000</v>
      </c>
      <c r="I483">
        <f t="shared" si="7"/>
        <v>0</v>
      </c>
      <c r="J483" s="5">
        <f>(Sales_data[[#This Row],[Sales Amount]]-Sales_data[[#This Row],[TARGET]])</f>
        <v>-11346.98</v>
      </c>
    </row>
    <row r="484" spans="1:10" x14ac:dyDescent="0.3">
      <c r="A484" s="2">
        <v>46012</v>
      </c>
      <c r="B484" s="1" t="s">
        <v>60</v>
      </c>
      <c r="C484" t="s">
        <v>14</v>
      </c>
      <c r="D484" t="s">
        <v>61</v>
      </c>
      <c r="E484" t="s">
        <v>8</v>
      </c>
      <c r="F484">
        <v>719.6</v>
      </c>
      <c r="G484" t="s">
        <v>10</v>
      </c>
      <c r="H484">
        <v>15000</v>
      </c>
      <c r="I484">
        <f t="shared" si="7"/>
        <v>0</v>
      </c>
      <c r="J484" s="5">
        <f>(Sales_data[[#This Row],[Sales Amount]]-Sales_data[[#This Row],[TARGET]])</f>
        <v>-14280.4</v>
      </c>
    </row>
    <row r="485" spans="1:10" x14ac:dyDescent="0.3">
      <c r="A485" s="2">
        <v>46012</v>
      </c>
      <c r="B485" s="1" t="s">
        <v>57</v>
      </c>
      <c r="C485" t="s">
        <v>58</v>
      </c>
      <c r="D485" t="s">
        <v>59</v>
      </c>
      <c r="E485" t="s">
        <v>8</v>
      </c>
      <c r="F485">
        <v>299.72000000000003</v>
      </c>
      <c r="G485" t="s">
        <v>9</v>
      </c>
      <c r="H485">
        <v>15000</v>
      </c>
      <c r="I485">
        <f t="shared" si="7"/>
        <v>0</v>
      </c>
      <c r="J485" s="5">
        <f>(Sales_data[[#This Row],[Sales Amount]]-Sales_data[[#This Row],[TARGET]])</f>
        <v>-14700.28</v>
      </c>
    </row>
    <row r="486" spans="1:10" x14ac:dyDescent="0.3">
      <c r="A486" s="2">
        <v>46016</v>
      </c>
      <c r="B486" s="1" t="s">
        <v>66</v>
      </c>
      <c r="C486" t="s">
        <v>74</v>
      </c>
      <c r="D486" t="s">
        <v>67</v>
      </c>
      <c r="E486" t="s">
        <v>8</v>
      </c>
      <c r="F486">
        <v>3689.62</v>
      </c>
      <c r="G486" t="s">
        <v>12</v>
      </c>
      <c r="H486">
        <v>15000</v>
      </c>
      <c r="I486">
        <f t="shared" si="7"/>
        <v>0</v>
      </c>
      <c r="J486" s="5">
        <f>(Sales_data[[#This Row],[Sales Amount]]-Sales_data[[#This Row],[TARGET]])</f>
        <v>-11310.380000000001</v>
      </c>
    </row>
    <row r="487" spans="1:10" x14ac:dyDescent="0.3">
      <c r="A487" s="2">
        <v>46016</v>
      </c>
      <c r="B487" s="1" t="s">
        <v>60</v>
      </c>
      <c r="C487" t="s">
        <v>14</v>
      </c>
      <c r="D487" t="s">
        <v>61</v>
      </c>
      <c r="E487" t="s">
        <v>8</v>
      </c>
      <c r="F487">
        <v>771.4</v>
      </c>
      <c r="G487" t="s">
        <v>9</v>
      </c>
      <c r="H487">
        <v>15000</v>
      </c>
      <c r="I487">
        <f t="shared" si="7"/>
        <v>0</v>
      </c>
      <c r="J487" s="5">
        <f>(Sales_data[[#This Row],[Sales Amount]]-Sales_data[[#This Row],[TARGET]])</f>
        <v>-14228.6</v>
      </c>
    </row>
    <row r="488" spans="1:10" x14ac:dyDescent="0.3">
      <c r="A488" s="2">
        <v>46016</v>
      </c>
      <c r="B488" s="1" t="s">
        <v>62</v>
      </c>
      <c r="C488" t="s">
        <v>13</v>
      </c>
      <c r="D488" t="s">
        <v>63</v>
      </c>
      <c r="E488" t="s">
        <v>8</v>
      </c>
      <c r="F488">
        <v>1636.39</v>
      </c>
      <c r="G488" t="s">
        <v>9</v>
      </c>
      <c r="H488">
        <v>15000</v>
      </c>
      <c r="I488">
        <f t="shared" si="7"/>
        <v>0</v>
      </c>
      <c r="J488" s="5">
        <f>(Sales_data[[#This Row],[Sales Amount]]-Sales_data[[#This Row],[TARGET]])</f>
        <v>-13363.61</v>
      </c>
    </row>
    <row r="489" spans="1:10" x14ac:dyDescent="0.3">
      <c r="A489" s="2">
        <v>46016</v>
      </c>
      <c r="B489" s="1" t="s">
        <v>57</v>
      </c>
      <c r="C489" t="s">
        <v>58</v>
      </c>
      <c r="D489" t="s">
        <v>59</v>
      </c>
      <c r="E489" t="s">
        <v>8</v>
      </c>
      <c r="F489">
        <v>1515.24</v>
      </c>
      <c r="G489" t="s">
        <v>12</v>
      </c>
      <c r="H489">
        <v>15000</v>
      </c>
      <c r="I489">
        <f t="shared" si="7"/>
        <v>0</v>
      </c>
      <c r="J489" s="5">
        <f>(Sales_data[[#This Row],[Sales Amount]]-Sales_data[[#This Row],[TARGET]])</f>
        <v>-13484.76</v>
      </c>
    </row>
    <row r="490" spans="1:10" x14ac:dyDescent="0.3">
      <c r="A490" t="s">
        <v>82</v>
      </c>
      <c r="B490" s="1"/>
      <c r="F490">
        <f>SUBTOTAL(109,Sales_data[Sales Amount])</f>
        <v>7458789.7899999926</v>
      </c>
      <c r="I490">
        <f>SUBTOTAL(109,Sales_data[COMMISION])</f>
        <v>572080.0399999998</v>
      </c>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2207-3C54-4F01-93E4-33AFD1DC39E2}">
  <dimension ref="A1:H5"/>
  <sheetViews>
    <sheetView workbookViewId="0">
      <selection activeCell="F10" sqref="F10"/>
    </sheetView>
  </sheetViews>
  <sheetFormatPr defaultRowHeight="14.4" x14ac:dyDescent="0.3"/>
  <cols>
    <col min="2" max="2" width="12.6640625" bestFit="1" customWidth="1"/>
    <col min="3" max="3" width="12.6640625" customWidth="1"/>
  </cols>
  <sheetData>
    <row r="1" spans="1:8" ht="43.2" x14ac:dyDescent="0.3">
      <c r="A1" s="24" t="s">
        <v>84</v>
      </c>
      <c r="B1" s="24" t="s">
        <v>85</v>
      </c>
      <c r="C1" s="24" t="s">
        <v>86</v>
      </c>
    </row>
    <row r="2" spans="1:8" x14ac:dyDescent="0.3">
      <c r="A2" s="22" t="s">
        <v>31</v>
      </c>
      <c r="B2" s="23">
        <v>1945833.2000000002</v>
      </c>
      <c r="C2" s="23">
        <v>157168.13000000003</v>
      </c>
    </row>
    <row r="3" spans="1:8" ht="15" thickBot="1" x14ac:dyDescent="0.35">
      <c r="A3" s="22" t="s">
        <v>44</v>
      </c>
      <c r="B3" s="23">
        <v>1812496.3000000003</v>
      </c>
      <c r="C3" s="23">
        <v>138552.42000000001</v>
      </c>
    </row>
    <row r="4" spans="1:8" ht="15" thickTop="1" x14ac:dyDescent="0.3">
      <c r="A4" s="22" t="s">
        <v>18</v>
      </c>
      <c r="B4" s="23">
        <v>1805833.5999999994</v>
      </c>
      <c r="C4" s="23">
        <v>147698.53000000003</v>
      </c>
      <c r="E4" s="4"/>
      <c r="F4" s="4"/>
      <c r="G4" s="4"/>
      <c r="H4" s="4"/>
    </row>
    <row r="5" spans="1:8" x14ac:dyDescent="0.3">
      <c r="A5" s="22" t="s">
        <v>8</v>
      </c>
      <c r="B5" s="23">
        <v>1894626.6900000013</v>
      </c>
      <c r="C5" s="23">
        <v>128660.96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9B07-8491-41CA-97C0-A33F352A4EEB}">
  <dimension ref="A1:C16"/>
  <sheetViews>
    <sheetView workbookViewId="0">
      <selection activeCell="P12" sqref="P12"/>
    </sheetView>
  </sheetViews>
  <sheetFormatPr defaultRowHeight="14.4" x14ac:dyDescent="0.3"/>
  <cols>
    <col min="1" max="1" width="12.44140625" bestFit="1" customWidth="1"/>
    <col min="2" max="2" width="12.6640625" bestFit="1" customWidth="1"/>
    <col min="3" max="3" width="15" bestFit="1" customWidth="1"/>
  </cols>
  <sheetData>
    <row r="1" spans="1:3" x14ac:dyDescent="0.3">
      <c r="A1" s="7" t="s">
        <v>6</v>
      </c>
      <c r="B1" t="s">
        <v>101</v>
      </c>
    </row>
    <row r="3" spans="1:3" x14ac:dyDescent="0.3">
      <c r="A3" s="7" t="s">
        <v>87</v>
      </c>
      <c r="B3" t="s">
        <v>85</v>
      </c>
      <c r="C3" t="s">
        <v>102</v>
      </c>
    </row>
    <row r="4" spans="1:3" x14ac:dyDescent="0.3">
      <c r="A4" s="8" t="s">
        <v>89</v>
      </c>
      <c r="B4" s="6">
        <v>201549.87999999995</v>
      </c>
      <c r="C4" s="9">
        <v>2.7021793839828803E-2</v>
      </c>
    </row>
    <row r="5" spans="1:3" x14ac:dyDescent="0.3">
      <c r="A5" s="8" t="s">
        <v>90</v>
      </c>
      <c r="B5" s="6">
        <v>271643.60000000009</v>
      </c>
      <c r="C5" s="9">
        <v>3.6419259376929046E-2</v>
      </c>
    </row>
    <row r="6" spans="1:3" x14ac:dyDescent="0.3">
      <c r="A6" s="8" t="s">
        <v>91</v>
      </c>
      <c r="B6" s="6">
        <v>627423.89999999979</v>
      </c>
      <c r="C6" s="9">
        <v>8.4118726719070044E-2</v>
      </c>
    </row>
    <row r="7" spans="1:3" x14ac:dyDescent="0.3">
      <c r="A7" s="8" t="s">
        <v>92</v>
      </c>
      <c r="B7" s="6">
        <v>505799.00000000012</v>
      </c>
      <c r="C7" s="9">
        <v>6.7812475514208076E-2</v>
      </c>
    </row>
    <row r="8" spans="1:3" x14ac:dyDescent="0.3">
      <c r="A8" s="8" t="s">
        <v>93</v>
      </c>
      <c r="B8" s="6">
        <v>549179.5</v>
      </c>
      <c r="C8" s="9">
        <v>7.3628499456612262E-2</v>
      </c>
    </row>
    <row r="9" spans="1:3" x14ac:dyDescent="0.3">
      <c r="A9" s="8" t="s">
        <v>94</v>
      </c>
      <c r="B9" s="6">
        <v>572723.00000000012</v>
      </c>
      <c r="C9" s="9">
        <v>7.6784976668446928E-2</v>
      </c>
    </row>
    <row r="10" spans="1:3" x14ac:dyDescent="0.3">
      <c r="A10" s="8" t="s">
        <v>95</v>
      </c>
      <c r="B10" s="6">
        <v>973200.3</v>
      </c>
      <c r="C10" s="9">
        <v>0.13047697111732118</v>
      </c>
    </row>
    <row r="11" spans="1:3" x14ac:dyDescent="0.3">
      <c r="A11" s="8" t="s">
        <v>96</v>
      </c>
      <c r="B11" s="6">
        <v>1266684.2</v>
      </c>
      <c r="C11" s="9">
        <v>0.16982435967001561</v>
      </c>
    </row>
    <row r="12" spans="1:3" x14ac:dyDescent="0.3">
      <c r="A12" s="8" t="s">
        <v>97</v>
      </c>
      <c r="B12" s="6">
        <v>1381425.9999999998</v>
      </c>
      <c r="C12" s="9">
        <v>0.18520779360910236</v>
      </c>
    </row>
    <row r="13" spans="1:3" x14ac:dyDescent="0.3">
      <c r="A13" s="8" t="s">
        <v>98</v>
      </c>
      <c r="B13" s="6">
        <v>989339.89000000013</v>
      </c>
      <c r="C13" s="9">
        <v>0.13264080606299006</v>
      </c>
    </row>
    <row r="14" spans="1:3" x14ac:dyDescent="0.3">
      <c r="A14" s="8" t="s">
        <v>99</v>
      </c>
      <c r="B14" s="6">
        <v>66297.470000000016</v>
      </c>
      <c r="C14" s="9">
        <v>8.8885022726991249E-3</v>
      </c>
    </row>
    <row r="15" spans="1:3" x14ac:dyDescent="0.3">
      <c r="A15" s="8" t="s">
        <v>100</v>
      </c>
      <c r="B15" s="6">
        <v>53523.049999999996</v>
      </c>
      <c r="C15" s="9">
        <v>7.1758356927766427E-3</v>
      </c>
    </row>
    <row r="16" spans="1:3" x14ac:dyDescent="0.3">
      <c r="A16" s="8" t="s">
        <v>88</v>
      </c>
      <c r="B16">
        <v>7458789.7899999991</v>
      </c>
      <c r="C16"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D49A-3F1D-44EB-A645-707A78472D86}">
  <dimension ref="A1:G22"/>
  <sheetViews>
    <sheetView topLeftCell="C1" workbookViewId="0"/>
  </sheetViews>
  <sheetFormatPr defaultRowHeight="14.4" x14ac:dyDescent="0.3"/>
  <cols>
    <col min="1" max="1" width="18.21875" hidden="1" customWidth="1"/>
    <col min="2" max="2" width="11" hidden="1" customWidth="1"/>
    <col min="5" max="5" width="14.21875" customWidth="1"/>
    <col min="9" max="9" width="18.33203125" customWidth="1"/>
  </cols>
  <sheetData>
    <row r="1" spans="1:7" x14ac:dyDescent="0.3">
      <c r="A1" t="s">
        <v>103</v>
      </c>
      <c r="B1" t="s">
        <v>104</v>
      </c>
      <c r="C1" t="s">
        <v>148</v>
      </c>
      <c r="D1" t="s">
        <v>150</v>
      </c>
      <c r="E1" t="s">
        <v>152</v>
      </c>
    </row>
    <row r="2" spans="1:7" ht="28.8" x14ac:dyDescent="0.3">
      <c r="A2" t="s">
        <v>105</v>
      </c>
      <c r="B2" t="s">
        <v>106</v>
      </c>
      <c r="C2" s="10" t="s">
        <v>147</v>
      </c>
      <c r="D2" s="10" t="s">
        <v>149</v>
      </c>
      <c r="E2" s="11" t="s">
        <v>151</v>
      </c>
      <c r="F2" s="1"/>
    </row>
    <row r="3" spans="1:7" x14ac:dyDescent="0.3">
      <c r="A3" t="s">
        <v>107</v>
      </c>
      <c r="B3" t="s">
        <v>108</v>
      </c>
      <c r="C3" t="str">
        <f>LEFT(A3,SEARCH("_",A3)-1)</f>
        <v>BRITTANY</v>
      </c>
      <c r="D3" t="str">
        <f>RIGHT(A3,LEN(A3)-SEARCH("_",A3))</f>
        <v>GAULT</v>
      </c>
      <c r="E3" t="str">
        <f>LEFT(B3,2)</f>
        <v>NE</v>
      </c>
      <c r="G3" s="3"/>
    </row>
    <row r="4" spans="1:7" x14ac:dyDescent="0.3">
      <c r="A4" t="s">
        <v>109</v>
      </c>
      <c r="B4" t="s">
        <v>110</v>
      </c>
      <c r="C4" t="str">
        <f t="shared" ref="C4:C22" si="0">LEFT(A4,SEARCH("_",A4)-1)</f>
        <v>NICOLE</v>
      </c>
      <c r="D4" t="str">
        <f t="shared" ref="D4:D22" si="1">RIGHT(A4,LEN(A4)-SEARCH("_",A4))</f>
        <v>MAIER</v>
      </c>
      <c r="E4" t="str">
        <f t="shared" ref="E4:E22" si="2">LEFT(B4,2)</f>
        <v>NE</v>
      </c>
    </row>
    <row r="5" spans="1:7" x14ac:dyDescent="0.3">
      <c r="A5" t="s">
        <v>111</v>
      </c>
      <c r="B5" t="s">
        <v>112</v>
      </c>
      <c r="C5" t="str">
        <f t="shared" si="0"/>
        <v>CLAY</v>
      </c>
      <c r="D5" t="str">
        <f t="shared" si="1"/>
        <v>CORBIN</v>
      </c>
      <c r="E5" t="str">
        <f t="shared" si="2"/>
        <v>NE</v>
      </c>
    </row>
    <row r="6" spans="1:7" x14ac:dyDescent="0.3">
      <c r="A6" t="s">
        <v>113</v>
      </c>
      <c r="B6" t="s">
        <v>114</v>
      </c>
      <c r="C6" t="str">
        <f t="shared" si="0"/>
        <v>ASHLEY</v>
      </c>
      <c r="D6" t="str">
        <f t="shared" si="1"/>
        <v>DELANGE</v>
      </c>
      <c r="E6" t="str">
        <f t="shared" si="2"/>
        <v>NE</v>
      </c>
    </row>
    <row r="7" spans="1:7" x14ac:dyDescent="0.3">
      <c r="A7" t="s">
        <v>115</v>
      </c>
      <c r="B7" t="s">
        <v>116</v>
      </c>
      <c r="C7" t="str">
        <f t="shared" si="0"/>
        <v>JENNIFER</v>
      </c>
      <c r="D7" t="str">
        <f t="shared" si="1"/>
        <v>VAZQUEZ</v>
      </c>
      <c r="E7" t="str">
        <f t="shared" si="2"/>
        <v>NE</v>
      </c>
    </row>
    <row r="8" spans="1:7" x14ac:dyDescent="0.3">
      <c r="A8" t="s">
        <v>117</v>
      </c>
      <c r="B8" t="s">
        <v>118</v>
      </c>
      <c r="C8" t="str">
        <f t="shared" si="0"/>
        <v>MANNY</v>
      </c>
      <c r="D8" t="str">
        <f t="shared" si="1"/>
        <v>WEBSTER</v>
      </c>
      <c r="E8" t="str">
        <f t="shared" si="2"/>
        <v>NW</v>
      </c>
    </row>
    <row r="9" spans="1:7" x14ac:dyDescent="0.3">
      <c r="A9" t="s">
        <v>119</v>
      </c>
      <c r="B9" t="s">
        <v>120</v>
      </c>
      <c r="C9" t="str">
        <f t="shared" si="0"/>
        <v>LUKE</v>
      </c>
      <c r="D9" t="str">
        <f t="shared" si="1"/>
        <v>REDENBAUGH</v>
      </c>
      <c r="E9" t="str">
        <f t="shared" si="2"/>
        <v>NW</v>
      </c>
    </row>
    <row r="10" spans="1:7" x14ac:dyDescent="0.3">
      <c r="A10" t="s">
        <v>121</v>
      </c>
      <c r="B10" t="s">
        <v>122</v>
      </c>
      <c r="C10" t="str">
        <f t="shared" si="0"/>
        <v>DEBBIE</v>
      </c>
      <c r="D10" t="str">
        <f t="shared" si="1"/>
        <v>GODOY</v>
      </c>
      <c r="E10" t="str">
        <f t="shared" si="2"/>
        <v>NW</v>
      </c>
    </row>
    <row r="11" spans="1:7" x14ac:dyDescent="0.3">
      <c r="A11" t="s">
        <v>123</v>
      </c>
      <c r="B11" t="s">
        <v>124</v>
      </c>
      <c r="C11" t="str">
        <f t="shared" si="0"/>
        <v>ELIZABETH</v>
      </c>
      <c r="D11" t="str">
        <f t="shared" si="1"/>
        <v>LAMBERT</v>
      </c>
      <c r="E11" t="str">
        <f t="shared" si="2"/>
        <v>NW</v>
      </c>
    </row>
    <row r="12" spans="1:7" x14ac:dyDescent="0.3">
      <c r="A12" t="s">
        <v>125</v>
      </c>
      <c r="B12" t="s">
        <v>126</v>
      </c>
      <c r="C12" t="str">
        <f t="shared" si="0"/>
        <v>JOEL</v>
      </c>
      <c r="D12" t="str">
        <f t="shared" si="1"/>
        <v>JONES</v>
      </c>
      <c r="E12" t="str">
        <f t="shared" si="2"/>
        <v>NW</v>
      </c>
    </row>
    <row r="13" spans="1:7" x14ac:dyDescent="0.3">
      <c r="A13" t="s">
        <v>127</v>
      </c>
      <c r="B13" t="s">
        <v>128</v>
      </c>
      <c r="C13" t="str">
        <f t="shared" si="0"/>
        <v>EBONY</v>
      </c>
      <c r="D13" t="str">
        <f t="shared" si="1"/>
        <v>PANE</v>
      </c>
      <c r="E13" t="str">
        <f t="shared" si="2"/>
        <v>SE</v>
      </c>
    </row>
    <row r="14" spans="1:7" x14ac:dyDescent="0.3">
      <c r="A14" t="s">
        <v>129</v>
      </c>
      <c r="B14" t="s">
        <v>130</v>
      </c>
      <c r="C14" t="str">
        <f t="shared" si="0"/>
        <v>RILEY</v>
      </c>
      <c r="D14" t="str">
        <f t="shared" si="1"/>
        <v>SWEENY</v>
      </c>
      <c r="E14" t="str">
        <f t="shared" si="2"/>
        <v>SE</v>
      </c>
    </row>
    <row r="15" spans="1:7" x14ac:dyDescent="0.3">
      <c r="A15" t="s">
        <v>131</v>
      </c>
      <c r="B15" t="s">
        <v>132</v>
      </c>
      <c r="C15" t="str">
        <f t="shared" si="0"/>
        <v>ALEX</v>
      </c>
      <c r="D15" t="str">
        <f t="shared" si="1"/>
        <v>WARD</v>
      </c>
      <c r="E15" t="str">
        <f t="shared" si="2"/>
        <v>SE</v>
      </c>
    </row>
    <row r="16" spans="1:7" x14ac:dyDescent="0.3">
      <c r="A16" t="s">
        <v>133</v>
      </c>
      <c r="B16" t="s">
        <v>134</v>
      </c>
      <c r="C16" t="str">
        <f t="shared" si="0"/>
        <v>PAT</v>
      </c>
      <c r="D16" t="str">
        <f t="shared" si="1"/>
        <v>HANKS</v>
      </c>
      <c r="E16" t="str">
        <f t="shared" si="2"/>
        <v>SE</v>
      </c>
    </row>
    <row r="17" spans="1:5" x14ac:dyDescent="0.3">
      <c r="A17" t="s">
        <v>135</v>
      </c>
      <c r="B17" t="s">
        <v>136</v>
      </c>
      <c r="C17" t="str">
        <f t="shared" si="0"/>
        <v>JESSICA</v>
      </c>
      <c r="D17" t="str">
        <f t="shared" si="1"/>
        <v>CRAIG</v>
      </c>
      <c r="E17" t="str">
        <f t="shared" si="2"/>
        <v>SE</v>
      </c>
    </row>
    <row r="18" spans="1:5" x14ac:dyDescent="0.3">
      <c r="A18" t="s">
        <v>137</v>
      </c>
      <c r="B18" t="s">
        <v>138</v>
      </c>
      <c r="C18" t="str">
        <f t="shared" si="0"/>
        <v>JAMIE</v>
      </c>
      <c r="D18" t="str">
        <f t="shared" si="1"/>
        <v>WELCH</v>
      </c>
      <c r="E18" t="str">
        <f t="shared" si="2"/>
        <v>SW</v>
      </c>
    </row>
    <row r="19" spans="1:5" x14ac:dyDescent="0.3">
      <c r="A19" t="s">
        <v>139</v>
      </c>
      <c r="B19" t="s">
        <v>140</v>
      </c>
      <c r="C19" t="str">
        <f t="shared" si="0"/>
        <v>DREW</v>
      </c>
      <c r="D19" t="str">
        <f t="shared" si="1"/>
        <v>WOMACK</v>
      </c>
      <c r="E19" t="str">
        <f t="shared" si="2"/>
        <v>SW</v>
      </c>
    </row>
    <row r="20" spans="1:5" x14ac:dyDescent="0.3">
      <c r="A20" t="s">
        <v>141</v>
      </c>
      <c r="B20" t="s">
        <v>142</v>
      </c>
      <c r="C20" t="str">
        <f t="shared" si="0"/>
        <v>ANGELA</v>
      </c>
      <c r="D20" t="str">
        <f t="shared" si="1"/>
        <v>MACLEOD</v>
      </c>
      <c r="E20" t="str">
        <f t="shared" si="2"/>
        <v>SW</v>
      </c>
    </row>
    <row r="21" spans="1:5" x14ac:dyDescent="0.3">
      <c r="A21" t="s">
        <v>143</v>
      </c>
      <c r="B21" t="s">
        <v>144</v>
      </c>
      <c r="C21" t="str">
        <f t="shared" si="0"/>
        <v>KAREN</v>
      </c>
      <c r="D21" t="str">
        <f t="shared" si="1"/>
        <v>D'AGUILAR</v>
      </c>
      <c r="E21" t="str">
        <f t="shared" si="2"/>
        <v>SW</v>
      </c>
    </row>
    <row r="22" spans="1:5" x14ac:dyDescent="0.3">
      <c r="A22" t="s">
        <v>145</v>
      </c>
      <c r="B22" t="s">
        <v>146</v>
      </c>
      <c r="C22" t="str">
        <f t="shared" si="0"/>
        <v>SAM</v>
      </c>
      <c r="D22" t="str">
        <f t="shared" si="1"/>
        <v>JESSUP</v>
      </c>
      <c r="E22" t="str">
        <f t="shared" si="2"/>
        <v>SW</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C404BE-9298-43EF-AB4C-908C8FE736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All Sales</vt:lpstr>
      <vt:lpstr>North</vt:lpstr>
      <vt:lpstr>South</vt:lpstr>
      <vt:lpstr>East</vt:lpstr>
      <vt:lpstr>West</vt:lpstr>
      <vt:lpstr>copy of All Sales</vt:lpstr>
      <vt:lpstr>Chart</vt:lpstr>
      <vt:lpstr>sales analysis</vt:lpstr>
      <vt:lpstr>new_satff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Usman Syed</dc:creator>
  <cp:lastModifiedBy>Usman Syed</cp:lastModifiedBy>
  <dcterms:created xsi:type="dcterms:W3CDTF">2025-07-25T09:30:51Z</dcterms:created>
  <dcterms:modified xsi:type="dcterms:W3CDTF">2025-08-06T14:23:22Z</dcterms:modified>
</cp:coreProperties>
</file>